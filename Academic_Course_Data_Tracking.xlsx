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 Offerings" sheetId="1" state="visible" r:id="rId3"/>
    <sheet name="Program Requirements" sheetId="2" state="visible" r:id="rId4"/>
    <sheet name="Enrollment Selections" sheetId="3" state="visible" r:id="rId5"/>
    <sheet name="Summary Stats" sheetId="4" state="visible" r:id="rId6"/>
    <sheet name="Validation Log" sheetId="5" state="visible" r:id="rId7"/>
  </sheets>
  <definedNames>
    <definedName function="false" hidden="true" localSheetId="0" name="_xlnm._FilterDatabase" vbProcedure="false">'Course Offerings'!$A$1:$M$23</definedName>
    <definedName function="false" hidden="true" localSheetId="2" name="_xlnm._FilterDatabase" vbProcedure="false">'Enrollment Selections'!$A$1:$J$153</definedName>
    <definedName function="false" hidden="true" localSheetId="1" name="_xlnm._FilterDatabase" vbProcedure="false">'Program Requirements'!$A$1:$H$23</definedName>
    <definedName function="false" hidden="true" localSheetId="4" name="_xlnm._FilterDatabase" vbProcedure="false">'Validation Log'!$A$1:$H$9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<sst xmlns="http://schemas.openxmlformats.org/spreadsheetml/2006/main" count="1630" uniqueCount="253">
  <si>
    <t xml:space="preserve">Course Code</t>
  </si>
  <si>
    <t xml:space="preserve">Course Title</t>
  </si>
  <si>
    <t xml:space="preserve">Credits</t>
  </si>
  <si>
    <t xml:space="preserve">Department</t>
  </si>
  <si>
    <t xml:space="preserve">Delivery Mode</t>
  </si>
  <si>
    <t xml:space="preserve">Capacity</t>
  </si>
  <si>
    <t xml:space="preserve">Current Enrollment</t>
  </si>
  <si>
    <t xml:space="preserve">Utilization %</t>
  </si>
  <si>
    <t xml:space="preserve">Semester</t>
  </si>
  <si>
    <t xml:space="preserve">Status</t>
  </si>
  <si>
    <t xml:space="preserve">Prerequisites</t>
  </si>
  <si>
    <t xml:space="preserve">Instructor</t>
  </si>
  <si>
    <t xml:space="preserve">Last Updated</t>
  </si>
  <si>
    <t xml:space="preserve">CS5100</t>
  </si>
  <si>
    <t xml:space="preserve">Foundations of AI</t>
  </si>
  <si>
    <t xml:space="preserve">Computer Science</t>
  </si>
  <si>
    <t xml:space="preserve">In-Person</t>
  </si>
  <si>
    <t xml:space="preserve">Fall 2025</t>
  </si>
  <si>
    <t xml:space="preserve">Open</t>
  </si>
  <si>
    <t xml:space="preserve">None</t>
  </si>
  <si>
    <t xml:space="preserve">Prof. Lee</t>
  </si>
  <si>
    <t xml:space="preserve">CS5200</t>
  </si>
  <si>
    <t xml:space="preserve">Database Management Systems</t>
  </si>
  <si>
    <t xml:space="preserve">Hybrid</t>
  </si>
  <si>
    <t xml:space="preserve">Spring 2026</t>
  </si>
  <si>
    <t xml:space="preserve">Dr. Johnson</t>
  </si>
  <si>
    <t xml:space="preserve">CS5800</t>
  </si>
  <si>
    <t xml:space="preserve">Algorithms</t>
  </si>
  <si>
    <t xml:space="preserve">Dr. Chen</t>
  </si>
  <si>
    <t xml:space="preserve">CS6140</t>
  </si>
  <si>
    <t xml:space="preserve">Machine Learning</t>
  </si>
  <si>
    <t xml:space="preserve">Dr. Patel</t>
  </si>
  <si>
    <t xml:space="preserve">CS6240</t>
  </si>
  <si>
    <t xml:space="preserve">Large-Scale Parallel Data Processing</t>
  </si>
  <si>
    <t xml:space="preserve">CS5010</t>
  </si>
  <si>
    <t xml:space="preserve">Programming Design Paradigm</t>
  </si>
  <si>
    <t xml:space="preserve">CS5500</t>
  </si>
  <si>
    <t xml:space="preserve">Foundations of Software Engineering</t>
  </si>
  <si>
    <t xml:space="preserve">Dr. Kumar</t>
  </si>
  <si>
    <t xml:space="preserve">CS6220</t>
  </si>
  <si>
    <t xml:space="preserve">Data Mining Techniques</t>
  </si>
  <si>
    <t xml:space="preserve">DA5020</t>
  </si>
  <si>
    <t xml:space="preserve">Collecting Storing and Retrieving Data</t>
  </si>
  <si>
    <t xml:space="preserve">Data Analytics</t>
  </si>
  <si>
    <t xml:space="preserve">DA5030</t>
  </si>
  <si>
    <t xml:space="preserve">Introduction to Machine Learning</t>
  </si>
  <si>
    <t xml:space="preserve">DA6040</t>
  </si>
  <si>
    <t xml:space="preserve">Data Engineering</t>
  </si>
  <si>
    <t xml:space="preserve">DA6100</t>
  </si>
  <si>
    <t xml:space="preserve">Applied Probability and Statistics</t>
  </si>
  <si>
    <t xml:space="preserve">Online</t>
  </si>
  <si>
    <t xml:space="preserve">DA5110</t>
  </si>
  <si>
    <t xml:space="preserve">Data Management for Engineering</t>
  </si>
  <si>
    <t xml:space="preserve">DA5220</t>
  </si>
  <si>
    <t xml:space="preserve">Data Mining</t>
  </si>
  <si>
    <t xml:space="preserve">Prof. Garcia</t>
  </si>
  <si>
    <t xml:space="preserve">DA5240</t>
  </si>
  <si>
    <t xml:space="preserve">Statistical Learning</t>
  </si>
  <si>
    <t xml:space="preserve">DA6350</t>
  </si>
  <si>
    <t xml:space="preserve">MLOps</t>
  </si>
  <si>
    <t xml:space="preserve">IE7280</t>
  </si>
  <si>
    <t xml:space="preserve">Statistical Methods in Engineering</t>
  </si>
  <si>
    <t xml:space="preserve">Industrial Engineering</t>
  </si>
  <si>
    <t xml:space="preserve">IE7275</t>
  </si>
  <si>
    <t xml:space="preserve">Data Mining in Engineering</t>
  </si>
  <si>
    <t xml:space="preserve">IE6600</t>
  </si>
  <si>
    <t xml:space="preserve">Computation and Visualization</t>
  </si>
  <si>
    <t xml:space="preserve">IE7300</t>
  </si>
  <si>
    <t xml:space="preserve">Statistical Quality Control</t>
  </si>
  <si>
    <t xml:space="preserve">IE7374</t>
  </si>
  <si>
    <t xml:space="preserve">Deep Learning</t>
  </si>
  <si>
    <t xml:space="preserve">Dr. Smith</t>
  </si>
  <si>
    <t xml:space="preserve">IE7200</t>
  </si>
  <si>
    <t xml:space="preserve">Optimization Methods</t>
  </si>
  <si>
    <t xml:space="preserve">Program</t>
  </si>
  <si>
    <t xml:space="preserve">Requirement Category</t>
  </si>
  <si>
    <t xml:space="preserve">Required/Elective</t>
  </si>
  <si>
    <t xml:space="preserve">Min Grade</t>
  </si>
  <si>
    <t xml:space="preserve">Notes</t>
  </si>
  <si>
    <t xml:space="preserve">M.S. Computer Science</t>
  </si>
  <si>
    <t xml:space="preserve">Core</t>
  </si>
  <si>
    <t xml:space="preserve">Required</t>
  </si>
  <si>
    <t xml:space="preserve">B</t>
  </si>
  <si>
    <t xml:space="preserve">Elective</t>
  </si>
  <si>
    <t xml:space="preserve">B-</t>
  </si>
  <si>
    <t xml:space="preserve">Popular elective</t>
  </si>
  <si>
    <t xml:space="preserve">Cross-listed with DA</t>
  </si>
  <si>
    <t xml:space="preserve">M.S. Data Analytics</t>
  </si>
  <si>
    <t xml:space="preserve">Prereq: DA5020</t>
  </si>
  <si>
    <t xml:space="preserve">New course</t>
  </si>
  <si>
    <t xml:space="preserve">M.S. Industrial Engineering</t>
  </si>
  <si>
    <t xml:space="preserve">Prereq: IE7275</t>
  </si>
  <si>
    <t xml:space="preserve">Student ID</t>
  </si>
  <si>
    <t xml:space="preserve">Student Name</t>
  </si>
  <si>
    <t xml:space="preserve">Selection Status</t>
  </si>
  <si>
    <t xml:space="preserve">Date Selected</t>
  </si>
  <si>
    <t xml:space="preserve">Advisor Approved</t>
  </si>
  <si>
    <t xml:space="preserve">NEU100000</t>
  </si>
  <si>
    <t xml:space="preserve">Sofia Sharma</t>
  </si>
  <si>
    <t xml:space="preserve">Waitlisted</t>
  </si>
  <si>
    <t xml:space="preserve">No</t>
  </si>
  <si>
    <t xml:space="preserve">Confirmed</t>
  </si>
  <si>
    <t xml:space="preserve">Yes</t>
  </si>
  <si>
    <t xml:space="preserve">NEU100001</t>
  </si>
  <si>
    <t xml:space="preserve">Aisha Garcia</t>
  </si>
  <si>
    <t xml:space="preserve">NEU100002</t>
  </si>
  <si>
    <t xml:space="preserve">Emma Rodriguez</t>
  </si>
  <si>
    <t xml:space="preserve">Pending</t>
  </si>
  <si>
    <t xml:space="preserve">NEU100003</t>
  </si>
  <si>
    <t xml:space="preserve">Sofia Kumar</t>
  </si>
  <si>
    <t xml:space="preserve">NEU100004</t>
  </si>
  <si>
    <t xml:space="preserve">Yuki Patel</t>
  </si>
  <si>
    <t xml:space="preserve">NEU100005</t>
  </si>
  <si>
    <t xml:space="preserve">Kenji Oliveira</t>
  </si>
  <si>
    <t xml:space="preserve">NEU100006</t>
  </si>
  <si>
    <t xml:space="preserve">Rahul Silva</t>
  </si>
  <si>
    <t xml:space="preserve">NEU100007</t>
  </si>
  <si>
    <t xml:space="preserve">Ana Khan</t>
  </si>
  <si>
    <t xml:space="preserve">NEU100008</t>
  </si>
  <si>
    <t xml:space="preserve">Liam Nakamura</t>
  </si>
  <si>
    <t xml:space="preserve">NEU100009</t>
  </si>
  <si>
    <t xml:space="preserve">Carlos Oliveira</t>
  </si>
  <si>
    <t xml:space="preserve">NEU100010</t>
  </si>
  <si>
    <t xml:space="preserve">Michael Gupta</t>
  </si>
  <si>
    <t xml:space="preserve">NEU100011</t>
  </si>
  <si>
    <t xml:space="preserve">James Williams</t>
  </si>
  <si>
    <t xml:space="preserve">NEU100012</t>
  </si>
  <si>
    <t xml:space="preserve">Maria Garcia</t>
  </si>
  <si>
    <t xml:space="preserve">NEU100013</t>
  </si>
  <si>
    <t xml:space="preserve">Liam Silva</t>
  </si>
  <si>
    <t xml:space="preserve">NEU100014</t>
  </si>
  <si>
    <t xml:space="preserve">Sofia Williams</t>
  </si>
  <si>
    <t xml:space="preserve">NEU100015</t>
  </si>
  <si>
    <t xml:space="preserve">Carlos Rodriguez</t>
  </si>
  <si>
    <t xml:space="preserve">NEU100016</t>
  </si>
  <si>
    <t xml:space="preserve">Sarah Silva</t>
  </si>
  <si>
    <t xml:space="preserve">NEU100017</t>
  </si>
  <si>
    <t xml:space="preserve">Dev Nakamura</t>
  </si>
  <si>
    <t xml:space="preserve">NEU100018</t>
  </si>
  <si>
    <t xml:space="preserve">Emma Hassan</t>
  </si>
  <si>
    <t xml:space="preserve">NEU100019</t>
  </si>
  <si>
    <t xml:space="preserve">Rahul Smith</t>
  </si>
  <si>
    <t xml:space="preserve">NEU100020</t>
  </si>
  <si>
    <t xml:space="preserve">Aisha Brown</t>
  </si>
  <si>
    <t xml:space="preserve">NEU100021</t>
  </si>
  <si>
    <t xml:space="preserve">James Johnson</t>
  </si>
  <si>
    <t xml:space="preserve">NEU100022</t>
  </si>
  <si>
    <t xml:space="preserve">Emma Brown</t>
  </si>
  <si>
    <t xml:space="preserve">NEU100023</t>
  </si>
  <si>
    <t xml:space="preserve">Aisha Rodriguez</t>
  </si>
  <si>
    <t xml:space="preserve">NEU100024</t>
  </si>
  <si>
    <t xml:space="preserve">James Khan</t>
  </si>
  <si>
    <t xml:space="preserve">NEU100025</t>
  </si>
  <si>
    <t xml:space="preserve">Liam Williams</t>
  </si>
  <si>
    <t xml:space="preserve">NEU100026</t>
  </si>
  <si>
    <t xml:space="preserve">Zara Johnson</t>
  </si>
  <si>
    <t xml:space="preserve">NEU100027</t>
  </si>
  <si>
    <t xml:space="preserve">NEU100028</t>
  </si>
  <si>
    <t xml:space="preserve">Wei Oliveira</t>
  </si>
  <si>
    <t xml:space="preserve">NEU100029</t>
  </si>
  <si>
    <t xml:space="preserve">Liam Garcia</t>
  </si>
  <si>
    <t xml:space="preserve">NEU100030</t>
  </si>
  <si>
    <t xml:space="preserve">Sarah Rodriguez</t>
  </si>
  <si>
    <t xml:space="preserve">NEU100031</t>
  </si>
  <si>
    <t xml:space="preserve">Yuki Zhang</t>
  </si>
  <si>
    <t xml:space="preserve">NEU100032</t>
  </si>
  <si>
    <t xml:space="preserve">Aarav Tanaka</t>
  </si>
  <si>
    <t xml:space="preserve">NEU100033</t>
  </si>
  <si>
    <t xml:space="preserve">Olivia Zhang</t>
  </si>
  <si>
    <t xml:space="preserve">NEU100034</t>
  </si>
  <si>
    <t xml:space="preserve">Aarav Brown</t>
  </si>
  <si>
    <t xml:space="preserve">NEU100035</t>
  </si>
  <si>
    <t xml:space="preserve">Zara Anderson</t>
  </si>
  <si>
    <t xml:space="preserve">NEU100036</t>
  </si>
  <si>
    <t xml:space="preserve">Dev Rodriguez</t>
  </si>
  <si>
    <t xml:space="preserve">NEU100037</t>
  </si>
  <si>
    <t xml:space="preserve">Aarav Sharma</t>
  </si>
  <si>
    <t xml:space="preserve">NEU100038</t>
  </si>
  <si>
    <t xml:space="preserve">Sarah Johnson</t>
  </si>
  <si>
    <t xml:space="preserve">NEU100039</t>
  </si>
  <si>
    <t xml:space="preserve">Sarah Tanaka</t>
  </si>
  <si>
    <t xml:space="preserve">NEU100040</t>
  </si>
  <si>
    <t xml:space="preserve">Maria Tanaka</t>
  </si>
  <si>
    <t xml:space="preserve">NEU100041</t>
  </si>
  <si>
    <t xml:space="preserve">Ana Gupta</t>
  </si>
  <si>
    <t xml:space="preserve">NEU100042</t>
  </si>
  <si>
    <t xml:space="preserve">NEU100043</t>
  </si>
  <si>
    <t xml:space="preserve">Rahul Patel</t>
  </si>
  <si>
    <t xml:space="preserve">NEU100044</t>
  </si>
  <si>
    <t xml:space="preserve">Sofia Davis</t>
  </si>
  <si>
    <t xml:space="preserve">NEU100045</t>
  </si>
  <si>
    <t xml:space="preserve">Sarah Oliveira</t>
  </si>
  <si>
    <t xml:space="preserve">NEU100046</t>
  </si>
  <si>
    <t xml:space="preserve">Michael Nakamura</t>
  </si>
  <si>
    <t xml:space="preserve">NEU100047</t>
  </si>
  <si>
    <t xml:space="preserve">Michael Khan</t>
  </si>
  <si>
    <t xml:space="preserve">NEU100048</t>
  </si>
  <si>
    <t xml:space="preserve">NEU100049</t>
  </si>
  <si>
    <t xml:space="preserve">Liam Anderson</t>
  </si>
  <si>
    <t xml:space="preserve">Metric</t>
  </si>
  <si>
    <t xml:space="preserve">Value</t>
  </si>
  <si>
    <t xml:space="preserve">Total Courses Offered</t>
  </si>
  <si>
    <t xml:space="preserve">Total Programs</t>
  </si>
  <si>
    <t xml:space="preserve">3</t>
  </si>
  <si>
    <t xml:space="preserve">Avg Utilization %</t>
  </si>
  <si>
    <t xml:space="preserve">Courses at Full Capacity</t>
  </si>
  <si>
    <t xml:space="preserve">Total Enrollment Selections</t>
  </si>
  <si>
    <t xml:space="preserve">Confirmed Enrollments</t>
  </si>
  <si>
    <t xml:space="preserve">Pending Enrollments</t>
  </si>
  <si>
    <t xml:space="preserve">Waitlisted Students</t>
  </si>
  <si>
    <t xml:space="preserve">CS Courses</t>
  </si>
  <si>
    <t xml:space="preserve">DA Courses</t>
  </si>
  <si>
    <t xml:space="preserve">IE Courses</t>
  </si>
  <si>
    <t xml:space="preserve">Check Date</t>
  </si>
  <si>
    <t xml:space="preserve">Check Type</t>
  </si>
  <si>
    <t xml:space="preserve">Sheet</t>
  </si>
  <si>
    <t xml:space="preserve">Issue Found</t>
  </si>
  <si>
    <t xml:space="preserve">Severity</t>
  </si>
  <si>
    <t xml:space="preserve">Records Affected</t>
  </si>
  <si>
    <t xml:space="preserve">Resolution</t>
  </si>
  <si>
    <t xml:space="preserve">Duplicate Check</t>
  </si>
  <si>
    <t xml:space="preserve">Course Offerings</t>
  </si>
  <si>
    <t xml:space="preserve">No duplicates found</t>
  </si>
  <si>
    <t xml:space="preserve">Info</t>
  </si>
  <si>
    <t xml:space="preserve">N/A</t>
  </si>
  <si>
    <t xml:space="preserve">Passed</t>
  </si>
  <si>
    <t xml:space="preserve">Missing Fields</t>
  </si>
  <si>
    <t xml:space="preserve">2 courses missing instructor</t>
  </si>
  <si>
    <t xml:space="preserve">Medium</t>
  </si>
  <si>
    <t xml:space="preserve">Contacted department</t>
  </si>
  <si>
    <t xml:space="preserve">Resolved</t>
  </si>
  <si>
    <t xml:space="preserve">Format Check</t>
  </si>
  <si>
    <t xml:space="preserve">Enrollment Selections</t>
  </si>
  <si>
    <t xml:space="preserve">3 dates in wrong format</t>
  </si>
  <si>
    <t xml:space="preserve">Low</t>
  </si>
  <si>
    <t xml:space="preserve">Corrected to YYYY-MM-DD</t>
  </si>
  <si>
    <t xml:space="preserve">Cross-Reference</t>
  </si>
  <si>
    <t xml:space="preserve">Program Requirements</t>
  </si>
  <si>
    <t xml:space="preserve">1 course code not in offerings</t>
  </si>
  <si>
    <t xml:space="preserve">High</t>
  </si>
  <si>
    <t xml:space="preserve">Added missing course</t>
  </si>
  <si>
    <t xml:space="preserve">Capacity Check</t>
  </si>
  <si>
    <t xml:space="preserve">4 courses over 90% capacity</t>
  </si>
  <si>
    <t xml:space="preserve">Flagged for review</t>
  </si>
  <si>
    <t xml:space="preserve">Monitoring</t>
  </si>
  <si>
    <t xml:space="preserve">2 duplicate student-course entries</t>
  </si>
  <si>
    <t xml:space="preserve">Removed duplicates</t>
  </si>
  <si>
    <t xml:space="preserve">Approval Check</t>
  </si>
  <si>
    <t xml:space="preserve">8 confirmed without advisor approval</t>
  </si>
  <si>
    <t xml:space="preserve">Sent to advisors</t>
  </si>
  <si>
    <t xml:space="preserve">Prerequisite Check</t>
  </si>
  <si>
    <t xml:space="preserve">3 students enrolled without prereqs</t>
  </si>
  <si>
    <t xml:space="preserve">Notified students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</si>
</sst>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yyyy\-mm\-dd"/>
    <numFmt numFmtId="167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D6A4F"/>
        <bgColor rgb="FF1B4332"/>
      </patternFill>
    </fill>
    <fill>
      <patternFill patternType="solid">
        <fgColor rgb="FFF0F7F4"/>
        <bgColor rgb="FFFFFFFF"/>
      </patternFill>
    </fill>
    <fill>
      <patternFill patternType="solid">
        <fgColor rgb="FF1B43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D6A4F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08080"/>
      <rgbColor rgb="FF9999FF"/>
      <rgbColor rgb="FF993366"/>
      <rgbColor rgb="FFF0F7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2" min="11" style="0" width="16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n">
        <v>4</v>
      </c>
      <c r="D2" s="2" t="s">
        <v>15</v>
      </c>
      <c r="E2" s="2" t="s">
        <v>16</v>
      </c>
      <c r="F2" s="2" t="n">
        <v>60</v>
      </c>
      <c r="G2" s="2" t="n">
        <v>47</v>
      </c>
      <c r="H2" s="3" t="n">
        <f aca="false">G2/F2</f>
        <v>0.783333333333333</v>
      </c>
      <c r="I2" s="2" t="s">
        <v>17</v>
      </c>
      <c r="J2" s="2" t="s">
        <v>18</v>
      </c>
      <c r="K2" s="2" t="s">
        <v>19</v>
      </c>
      <c r="L2" s="2" t="s">
        <v>20</v>
      </c>
      <c r="M2" s="4" t="n">
        <v>46037</v>
      </c>
    </row>
    <row r="3" customFormat="false" ht="15" hidden="false" customHeight="false" outlineLevel="0" collapsed="false">
      <c r="A3" s="5" t="s">
        <v>21</v>
      </c>
      <c r="B3" s="5" t="s">
        <v>22</v>
      </c>
      <c r="C3" s="5" t="n">
        <v>4</v>
      </c>
      <c r="D3" s="5" t="s">
        <v>15</v>
      </c>
      <c r="E3" s="5" t="s">
        <v>23</v>
      </c>
      <c r="F3" s="5" t="n">
        <v>50</v>
      </c>
      <c r="G3" s="5" t="n">
        <v>39</v>
      </c>
      <c r="H3" s="6" t="n">
        <f aca="false">G3/F3</f>
        <v>0.78</v>
      </c>
      <c r="I3" s="5" t="s">
        <v>24</v>
      </c>
      <c r="J3" s="5" t="s">
        <v>18</v>
      </c>
      <c r="K3" s="5" t="s">
        <v>19</v>
      </c>
      <c r="L3" s="5" t="s">
        <v>25</v>
      </c>
      <c r="M3" s="7" t="n">
        <v>46037</v>
      </c>
    </row>
    <row r="4" customFormat="false" ht="15" hidden="false" customHeight="false" outlineLevel="0" collapsed="false">
      <c r="A4" s="2" t="s">
        <v>26</v>
      </c>
      <c r="B4" s="2" t="s">
        <v>27</v>
      </c>
      <c r="C4" s="2" t="n">
        <v>4</v>
      </c>
      <c r="D4" s="2" t="s">
        <v>15</v>
      </c>
      <c r="E4" s="2" t="s">
        <v>16</v>
      </c>
      <c r="F4" s="2" t="n">
        <v>55</v>
      </c>
      <c r="G4" s="2" t="n">
        <v>47</v>
      </c>
      <c r="H4" s="3" t="n">
        <f aca="false">G4/F4</f>
        <v>0.854545454545455</v>
      </c>
      <c r="I4" s="2" t="s">
        <v>24</v>
      </c>
      <c r="J4" s="2" t="s">
        <v>18</v>
      </c>
      <c r="K4" s="2" t="s">
        <v>19</v>
      </c>
      <c r="L4" s="2" t="s">
        <v>28</v>
      </c>
      <c r="M4" s="4" t="n">
        <v>46037</v>
      </c>
    </row>
    <row r="5" customFormat="false" ht="15" hidden="false" customHeight="false" outlineLevel="0" collapsed="false">
      <c r="A5" s="5" t="s">
        <v>29</v>
      </c>
      <c r="B5" s="5" t="s">
        <v>30</v>
      </c>
      <c r="C5" s="5" t="n">
        <v>4</v>
      </c>
      <c r="D5" s="5" t="s">
        <v>15</v>
      </c>
      <c r="E5" s="5" t="s">
        <v>16</v>
      </c>
      <c r="F5" s="5" t="n">
        <v>45</v>
      </c>
      <c r="G5" s="5" t="n">
        <v>37</v>
      </c>
      <c r="H5" s="6" t="n">
        <f aca="false">G5/F5</f>
        <v>0.822222222222222</v>
      </c>
      <c r="I5" s="5" t="s">
        <v>24</v>
      </c>
      <c r="J5" s="5" t="s">
        <v>18</v>
      </c>
      <c r="K5" s="5" t="s">
        <v>13</v>
      </c>
      <c r="L5" s="5" t="s">
        <v>31</v>
      </c>
      <c r="M5" s="7" t="n">
        <v>46037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n">
        <v>4</v>
      </c>
      <c r="D6" s="2" t="s">
        <v>15</v>
      </c>
      <c r="E6" s="2" t="s">
        <v>16</v>
      </c>
      <c r="F6" s="2" t="n">
        <v>40</v>
      </c>
      <c r="G6" s="2" t="n">
        <v>24</v>
      </c>
      <c r="H6" s="3" t="n">
        <f aca="false">G6/F6</f>
        <v>0.6</v>
      </c>
      <c r="I6" s="2" t="s">
        <v>17</v>
      </c>
      <c r="J6" s="2" t="s">
        <v>18</v>
      </c>
      <c r="K6" s="2" t="s">
        <v>26</v>
      </c>
      <c r="L6" s="2" t="s">
        <v>25</v>
      </c>
      <c r="M6" s="4" t="n">
        <v>46037</v>
      </c>
    </row>
    <row r="7" customFormat="false" ht="15" hidden="false" customHeight="false" outlineLevel="0" collapsed="false">
      <c r="A7" s="5" t="s">
        <v>34</v>
      </c>
      <c r="B7" s="5" t="s">
        <v>35</v>
      </c>
      <c r="C7" s="5" t="n">
        <v>4</v>
      </c>
      <c r="D7" s="5" t="s">
        <v>15</v>
      </c>
      <c r="E7" s="5" t="s">
        <v>16</v>
      </c>
      <c r="F7" s="5" t="n">
        <v>65</v>
      </c>
      <c r="G7" s="5" t="n">
        <v>59</v>
      </c>
      <c r="H7" s="6" t="n">
        <f aca="false">G7/F7</f>
        <v>0.907692307692308</v>
      </c>
      <c r="I7" s="5" t="s">
        <v>24</v>
      </c>
      <c r="J7" s="5" t="s">
        <v>18</v>
      </c>
      <c r="K7" s="5" t="s">
        <v>19</v>
      </c>
      <c r="L7" s="5" t="s">
        <v>28</v>
      </c>
      <c r="M7" s="7" t="n">
        <v>46037</v>
      </c>
    </row>
    <row r="8" customFormat="false" ht="15" hidden="false" customHeight="false" outlineLevel="0" collapsed="false">
      <c r="A8" s="2" t="s">
        <v>36</v>
      </c>
      <c r="B8" s="2" t="s">
        <v>37</v>
      </c>
      <c r="C8" s="2" t="n">
        <v>4</v>
      </c>
      <c r="D8" s="2" t="s">
        <v>15</v>
      </c>
      <c r="E8" s="2" t="s">
        <v>23</v>
      </c>
      <c r="F8" s="2" t="n">
        <v>50</v>
      </c>
      <c r="G8" s="2" t="n">
        <v>49</v>
      </c>
      <c r="H8" s="3" t="n">
        <f aca="false">G8/F8</f>
        <v>0.98</v>
      </c>
      <c r="I8" s="2" t="s">
        <v>24</v>
      </c>
      <c r="J8" s="2" t="s">
        <v>18</v>
      </c>
      <c r="K8" s="2" t="s">
        <v>19</v>
      </c>
      <c r="L8" s="2" t="s">
        <v>38</v>
      </c>
      <c r="M8" s="4" t="n">
        <v>46037</v>
      </c>
    </row>
    <row r="9" customFormat="false" ht="15" hidden="false" customHeight="false" outlineLevel="0" collapsed="false">
      <c r="A9" s="5" t="s">
        <v>39</v>
      </c>
      <c r="B9" s="5" t="s">
        <v>40</v>
      </c>
      <c r="C9" s="5" t="n">
        <v>4</v>
      </c>
      <c r="D9" s="5" t="s">
        <v>15</v>
      </c>
      <c r="E9" s="5" t="s">
        <v>16</v>
      </c>
      <c r="F9" s="5" t="n">
        <v>40</v>
      </c>
      <c r="G9" s="5" t="n">
        <v>27</v>
      </c>
      <c r="H9" s="6" t="n">
        <f aca="false">G9/F9</f>
        <v>0.675</v>
      </c>
      <c r="I9" s="5" t="s">
        <v>17</v>
      </c>
      <c r="J9" s="5" t="s">
        <v>18</v>
      </c>
      <c r="K9" s="5" t="s">
        <v>21</v>
      </c>
      <c r="L9" s="5" t="s">
        <v>20</v>
      </c>
      <c r="M9" s="7" t="n">
        <v>46037</v>
      </c>
    </row>
    <row r="10" customFormat="false" ht="15" hidden="false" customHeight="false" outlineLevel="0" collapsed="false">
      <c r="A10" s="2" t="s">
        <v>41</v>
      </c>
      <c r="B10" s="2" t="s">
        <v>42</v>
      </c>
      <c r="C10" s="2" t="n">
        <v>4</v>
      </c>
      <c r="D10" s="2" t="s">
        <v>43</v>
      </c>
      <c r="E10" s="2" t="s">
        <v>23</v>
      </c>
      <c r="F10" s="2" t="n">
        <v>45</v>
      </c>
      <c r="G10" s="2" t="n">
        <v>34</v>
      </c>
      <c r="H10" s="3" t="n">
        <f aca="false">G10/F10</f>
        <v>0.755555555555556</v>
      </c>
      <c r="I10" s="2" t="s">
        <v>17</v>
      </c>
      <c r="J10" s="2" t="s">
        <v>18</v>
      </c>
      <c r="K10" s="2" t="s">
        <v>19</v>
      </c>
      <c r="L10" s="2" t="s">
        <v>31</v>
      </c>
      <c r="M10" s="4" t="n">
        <v>46037</v>
      </c>
    </row>
    <row r="11" customFormat="false" ht="15" hidden="false" customHeight="false" outlineLevel="0" collapsed="false">
      <c r="A11" s="5" t="s">
        <v>44</v>
      </c>
      <c r="B11" s="5" t="s">
        <v>45</v>
      </c>
      <c r="C11" s="5" t="n">
        <v>4</v>
      </c>
      <c r="D11" s="5" t="s">
        <v>43</v>
      </c>
      <c r="E11" s="5" t="s">
        <v>16</v>
      </c>
      <c r="F11" s="5" t="n">
        <v>50</v>
      </c>
      <c r="G11" s="5" t="n">
        <v>44</v>
      </c>
      <c r="H11" s="6" t="n">
        <f aca="false">G11/F11</f>
        <v>0.88</v>
      </c>
      <c r="I11" s="5" t="s">
        <v>17</v>
      </c>
      <c r="J11" s="5" t="s">
        <v>18</v>
      </c>
      <c r="K11" s="5" t="s">
        <v>41</v>
      </c>
      <c r="L11" s="5" t="s">
        <v>20</v>
      </c>
      <c r="M11" s="7" t="n">
        <v>46037</v>
      </c>
    </row>
    <row r="12" customFormat="false" ht="15" hidden="false" customHeight="false" outlineLevel="0" collapsed="false">
      <c r="A12" s="2" t="s">
        <v>46</v>
      </c>
      <c r="B12" s="2" t="s">
        <v>47</v>
      </c>
      <c r="C12" s="2" t="n">
        <v>4</v>
      </c>
      <c r="D12" s="2" t="s">
        <v>43</v>
      </c>
      <c r="E12" s="2" t="s">
        <v>16</v>
      </c>
      <c r="F12" s="2" t="n">
        <v>35</v>
      </c>
      <c r="G12" s="2" t="n">
        <v>29</v>
      </c>
      <c r="H12" s="3" t="n">
        <f aca="false">G12/F12</f>
        <v>0.828571428571429</v>
      </c>
      <c r="I12" s="2" t="s">
        <v>24</v>
      </c>
      <c r="J12" s="2" t="s">
        <v>18</v>
      </c>
      <c r="K12" s="2" t="s">
        <v>41</v>
      </c>
      <c r="L12" s="2" t="s">
        <v>28</v>
      </c>
      <c r="M12" s="4" t="n">
        <v>46037</v>
      </c>
    </row>
    <row r="13" customFormat="false" ht="15" hidden="false" customHeight="false" outlineLevel="0" collapsed="false">
      <c r="A13" s="5" t="s">
        <v>48</v>
      </c>
      <c r="B13" s="5" t="s">
        <v>49</v>
      </c>
      <c r="C13" s="5" t="n">
        <v>4</v>
      </c>
      <c r="D13" s="5" t="s">
        <v>43</v>
      </c>
      <c r="E13" s="5" t="s">
        <v>50</v>
      </c>
      <c r="F13" s="5" t="n">
        <v>60</v>
      </c>
      <c r="G13" s="5" t="n">
        <v>30</v>
      </c>
      <c r="H13" s="6" t="n">
        <f aca="false">G13/F13</f>
        <v>0.5</v>
      </c>
      <c r="I13" s="5" t="s">
        <v>17</v>
      </c>
      <c r="J13" s="5" t="s">
        <v>18</v>
      </c>
      <c r="K13" s="5" t="s">
        <v>19</v>
      </c>
      <c r="L13" s="5" t="s">
        <v>20</v>
      </c>
      <c r="M13" s="7" t="n">
        <v>46037</v>
      </c>
    </row>
    <row r="14" customFormat="false" ht="15" hidden="false" customHeight="false" outlineLevel="0" collapsed="false">
      <c r="A14" s="2" t="s">
        <v>51</v>
      </c>
      <c r="B14" s="2" t="s">
        <v>52</v>
      </c>
      <c r="C14" s="2" t="n">
        <v>4</v>
      </c>
      <c r="D14" s="2" t="s">
        <v>43</v>
      </c>
      <c r="E14" s="2" t="s">
        <v>16</v>
      </c>
      <c r="F14" s="2" t="n">
        <v>40</v>
      </c>
      <c r="G14" s="2" t="n">
        <v>31</v>
      </c>
      <c r="H14" s="3" t="n">
        <f aca="false">G14/F14</f>
        <v>0.775</v>
      </c>
      <c r="I14" s="2" t="s">
        <v>24</v>
      </c>
      <c r="J14" s="2" t="s">
        <v>18</v>
      </c>
      <c r="K14" s="2" t="s">
        <v>19</v>
      </c>
      <c r="L14" s="2" t="s">
        <v>31</v>
      </c>
      <c r="M14" s="4" t="n">
        <v>46037</v>
      </c>
    </row>
    <row r="15" customFormat="false" ht="15" hidden="false" customHeight="false" outlineLevel="0" collapsed="false">
      <c r="A15" s="5" t="s">
        <v>53</v>
      </c>
      <c r="B15" s="5" t="s">
        <v>54</v>
      </c>
      <c r="C15" s="5" t="n">
        <v>4</v>
      </c>
      <c r="D15" s="5" t="s">
        <v>43</v>
      </c>
      <c r="E15" s="5" t="s">
        <v>16</v>
      </c>
      <c r="F15" s="5" t="n">
        <v>45</v>
      </c>
      <c r="G15" s="5" t="n">
        <v>26</v>
      </c>
      <c r="H15" s="6" t="n">
        <f aca="false">G15/F15</f>
        <v>0.577777777777778</v>
      </c>
      <c r="I15" s="5" t="s">
        <v>17</v>
      </c>
      <c r="J15" s="5" t="s">
        <v>18</v>
      </c>
      <c r="K15" s="5" t="s">
        <v>51</v>
      </c>
      <c r="L15" s="5" t="s">
        <v>55</v>
      </c>
      <c r="M15" s="7" t="n">
        <v>46037</v>
      </c>
    </row>
    <row r="16" customFormat="false" ht="15" hidden="false" customHeight="false" outlineLevel="0" collapsed="false">
      <c r="A16" s="2" t="s">
        <v>56</v>
      </c>
      <c r="B16" s="2" t="s">
        <v>57</v>
      </c>
      <c r="C16" s="2" t="n">
        <v>4</v>
      </c>
      <c r="D16" s="2" t="s">
        <v>43</v>
      </c>
      <c r="E16" s="2" t="s">
        <v>23</v>
      </c>
      <c r="F16" s="2" t="n">
        <v>40</v>
      </c>
      <c r="G16" s="2" t="n">
        <v>21</v>
      </c>
      <c r="H16" s="3" t="n">
        <f aca="false">G16/F16</f>
        <v>0.525</v>
      </c>
      <c r="I16" s="2" t="s">
        <v>24</v>
      </c>
      <c r="J16" s="2" t="s">
        <v>18</v>
      </c>
      <c r="K16" s="2" t="s">
        <v>51</v>
      </c>
      <c r="L16" s="2" t="s">
        <v>28</v>
      </c>
      <c r="M16" s="4" t="n">
        <v>46037</v>
      </c>
    </row>
    <row r="17" customFormat="false" ht="15" hidden="false" customHeight="false" outlineLevel="0" collapsed="false">
      <c r="A17" s="5" t="s">
        <v>58</v>
      </c>
      <c r="B17" s="5" t="s">
        <v>59</v>
      </c>
      <c r="C17" s="5" t="n">
        <v>4</v>
      </c>
      <c r="D17" s="5" t="s">
        <v>43</v>
      </c>
      <c r="E17" s="5" t="s">
        <v>16</v>
      </c>
      <c r="F17" s="5" t="n">
        <v>35</v>
      </c>
      <c r="G17" s="5" t="n">
        <v>25</v>
      </c>
      <c r="H17" s="6" t="n">
        <f aca="false">G17/F17</f>
        <v>0.714285714285714</v>
      </c>
      <c r="I17" s="5" t="s">
        <v>24</v>
      </c>
      <c r="J17" s="5" t="s">
        <v>18</v>
      </c>
      <c r="K17" s="5" t="s">
        <v>44</v>
      </c>
      <c r="L17" s="5" t="s">
        <v>25</v>
      </c>
      <c r="M17" s="7" t="n">
        <v>46037</v>
      </c>
    </row>
    <row r="18" customFormat="false" ht="15" hidden="false" customHeight="false" outlineLevel="0" collapsed="false">
      <c r="A18" s="2" t="s">
        <v>60</v>
      </c>
      <c r="B18" s="2" t="s">
        <v>61</v>
      </c>
      <c r="C18" s="2" t="n">
        <v>4</v>
      </c>
      <c r="D18" s="2" t="s">
        <v>62</v>
      </c>
      <c r="E18" s="2" t="s">
        <v>16</v>
      </c>
      <c r="F18" s="2" t="n">
        <v>40</v>
      </c>
      <c r="G18" s="2" t="n">
        <v>38</v>
      </c>
      <c r="H18" s="3" t="n">
        <f aca="false">G18/F18</f>
        <v>0.95</v>
      </c>
      <c r="I18" s="2" t="s">
        <v>17</v>
      </c>
      <c r="J18" s="2" t="s">
        <v>18</v>
      </c>
      <c r="K18" s="2" t="s">
        <v>19</v>
      </c>
      <c r="L18" s="2" t="s">
        <v>38</v>
      </c>
      <c r="M18" s="4" t="n">
        <v>46037</v>
      </c>
    </row>
    <row r="19" customFormat="false" ht="15" hidden="false" customHeight="false" outlineLevel="0" collapsed="false">
      <c r="A19" s="5" t="s">
        <v>63</v>
      </c>
      <c r="B19" s="5" t="s">
        <v>64</v>
      </c>
      <c r="C19" s="5" t="n">
        <v>4</v>
      </c>
      <c r="D19" s="5" t="s">
        <v>62</v>
      </c>
      <c r="E19" s="5" t="s">
        <v>23</v>
      </c>
      <c r="F19" s="5" t="n">
        <v>35</v>
      </c>
      <c r="G19" s="5" t="n">
        <v>28</v>
      </c>
      <c r="H19" s="6" t="n">
        <f aca="false">G19/F19</f>
        <v>0.8</v>
      </c>
      <c r="I19" s="5" t="s">
        <v>24</v>
      </c>
      <c r="J19" s="5" t="s">
        <v>18</v>
      </c>
      <c r="K19" s="5" t="s">
        <v>65</v>
      </c>
      <c r="L19" s="5" t="s">
        <v>55</v>
      </c>
      <c r="M19" s="7" t="n">
        <v>46037</v>
      </c>
    </row>
    <row r="20" customFormat="false" ht="15" hidden="false" customHeight="false" outlineLevel="0" collapsed="false">
      <c r="A20" s="2" t="s">
        <v>65</v>
      </c>
      <c r="B20" s="2" t="s">
        <v>66</v>
      </c>
      <c r="C20" s="2" t="n">
        <v>4</v>
      </c>
      <c r="D20" s="2" t="s">
        <v>62</v>
      </c>
      <c r="E20" s="2" t="s">
        <v>16</v>
      </c>
      <c r="F20" s="2" t="n">
        <v>45</v>
      </c>
      <c r="G20" s="2" t="n">
        <v>23</v>
      </c>
      <c r="H20" s="3" t="n">
        <f aca="false">G20/F20</f>
        <v>0.511111111111111</v>
      </c>
      <c r="I20" s="2" t="s">
        <v>24</v>
      </c>
      <c r="J20" s="2" t="s">
        <v>18</v>
      </c>
      <c r="K20" s="2" t="s">
        <v>19</v>
      </c>
      <c r="L20" s="2" t="s">
        <v>20</v>
      </c>
      <c r="M20" s="4" t="n">
        <v>46037</v>
      </c>
    </row>
    <row r="21" customFormat="false" ht="15" hidden="false" customHeight="false" outlineLevel="0" collapsed="false">
      <c r="A21" s="5" t="s">
        <v>67</v>
      </c>
      <c r="B21" s="5" t="s">
        <v>68</v>
      </c>
      <c r="C21" s="5" t="n">
        <v>4</v>
      </c>
      <c r="D21" s="5" t="s">
        <v>62</v>
      </c>
      <c r="E21" s="5" t="s">
        <v>16</v>
      </c>
      <c r="F21" s="5" t="n">
        <v>30</v>
      </c>
      <c r="G21" s="5" t="n">
        <v>22</v>
      </c>
      <c r="H21" s="6" t="n">
        <f aca="false">G21/F21</f>
        <v>0.733333333333333</v>
      </c>
      <c r="I21" s="5" t="s">
        <v>17</v>
      </c>
      <c r="J21" s="5" t="s">
        <v>18</v>
      </c>
      <c r="K21" s="5" t="s">
        <v>19</v>
      </c>
      <c r="L21" s="5" t="s">
        <v>28</v>
      </c>
      <c r="M21" s="7" t="n">
        <v>46037</v>
      </c>
    </row>
    <row r="22" customFormat="false" ht="15" hidden="false" customHeight="false" outlineLevel="0" collapsed="false">
      <c r="A22" s="2" t="s">
        <v>69</v>
      </c>
      <c r="B22" s="2" t="s">
        <v>70</v>
      </c>
      <c r="C22" s="2" t="n">
        <v>4</v>
      </c>
      <c r="D22" s="2" t="s">
        <v>62</v>
      </c>
      <c r="E22" s="2" t="s">
        <v>16</v>
      </c>
      <c r="F22" s="2" t="n">
        <v>35</v>
      </c>
      <c r="G22" s="2" t="n">
        <v>28</v>
      </c>
      <c r="H22" s="3" t="n">
        <f aca="false">G22/F22</f>
        <v>0.8</v>
      </c>
      <c r="I22" s="2" t="s">
        <v>24</v>
      </c>
      <c r="J22" s="2" t="s">
        <v>18</v>
      </c>
      <c r="K22" s="2" t="s">
        <v>63</v>
      </c>
      <c r="L22" s="2" t="s">
        <v>71</v>
      </c>
      <c r="M22" s="4" t="n">
        <v>46037</v>
      </c>
    </row>
    <row r="23" customFormat="false" ht="15" hidden="false" customHeight="false" outlineLevel="0" collapsed="false">
      <c r="A23" s="5" t="s">
        <v>72</v>
      </c>
      <c r="B23" s="5" t="s">
        <v>73</v>
      </c>
      <c r="C23" s="5" t="n">
        <v>4</v>
      </c>
      <c r="D23" s="5" t="s">
        <v>62</v>
      </c>
      <c r="E23" s="5" t="s">
        <v>23</v>
      </c>
      <c r="F23" s="5" t="n">
        <v>30</v>
      </c>
      <c r="G23" s="5" t="n">
        <v>16</v>
      </c>
      <c r="H23" s="6" t="n">
        <f aca="false">G23/F23</f>
        <v>0.533333333333333</v>
      </c>
      <c r="I23" s="5" t="s">
        <v>17</v>
      </c>
      <c r="J23" s="5" t="s">
        <v>18</v>
      </c>
      <c r="K23" s="5" t="s">
        <v>19</v>
      </c>
      <c r="L23" s="5" t="s">
        <v>20</v>
      </c>
      <c r="M23" s="7" t="n">
        <v>46037</v>
      </c>
    </row>
  </sheetData>
  <autoFilter ref="A1:M23"/>
  <dataValidations count="3">
    <dataValidation allowBlank="false" error="Please select a valid delivery mode" errorStyle="stop" errorTitle="Invalid Entry" operator="between" showDropDown="false" showErrorMessage="false" showInputMessage="false" sqref="E2:E23" type="list">
      <formula1>"In-Person,Hybrid,Online"</formula1>
      <formula2>0</formula2>
    </dataValidation>
    <dataValidation allowBlank="false" errorStyle="stop" operator="between" showDropDown="false" showErrorMessage="false" showInputMessage="false" sqref="J2:J23" type="list">
      <formula1>"Open,Full,Cancelled,Waitlist"</formula1>
      <formula2>0</formula2>
    </dataValidation>
    <dataValidation allowBlank="false" error="Credits must be between 1 and 4" errorStyle="stop" operator="between" showDropDown="false" showErrorMessage="false" showInputMessage="false" sqref="C2:C23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30" hidden="false" customHeight="true" outlineLevel="0" collapsed="false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76</v>
      </c>
      <c r="G1" s="1" t="s">
        <v>77</v>
      </c>
      <c r="H1" s="1" t="s">
        <v>78</v>
      </c>
    </row>
    <row r="2" customFormat="false" ht="15" hidden="false" customHeight="false" outlineLevel="0" collapsed="false">
      <c r="A2" s="2" t="s">
        <v>79</v>
      </c>
      <c r="B2" s="2" t="s">
        <v>80</v>
      </c>
      <c r="C2" s="2" t="s">
        <v>13</v>
      </c>
      <c r="D2" s="2" t="s">
        <v>14</v>
      </c>
      <c r="E2" s="2" t="n">
        <v>4</v>
      </c>
      <c r="F2" s="2" t="s">
        <v>81</v>
      </c>
      <c r="G2" s="2" t="s">
        <v>82</v>
      </c>
      <c r="H2" s="2"/>
    </row>
    <row r="3" customFormat="false" ht="15" hidden="false" customHeight="false" outlineLevel="0" collapsed="false">
      <c r="A3" s="5" t="s">
        <v>79</v>
      </c>
      <c r="B3" s="5" t="s">
        <v>80</v>
      </c>
      <c r="C3" s="5" t="s">
        <v>21</v>
      </c>
      <c r="D3" s="5" t="s">
        <v>22</v>
      </c>
      <c r="E3" s="5" t="n">
        <v>4</v>
      </c>
      <c r="F3" s="5" t="s">
        <v>81</v>
      </c>
      <c r="G3" s="5" t="s">
        <v>82</v>
      </c>
      <c r="H3" s="5"/>
    </row>
    <row r="4" customFormat="false" ht="15" hidden="false" customHeight="false" outlineLevel="0" collapsed="false">
      <c r="A4" s="2" t="s">
        <v>79</v>
      </c>
      <c r="B4" s="2" t="s">
        <v>80</v>
      </c>
      <c r="C4" s="2" t="s">
        <v>26</v>
      </c>
      <c r="D4" s="2" t="s">
        <v>27</v>
      </c>
      <c r="E4" s="2" t="n">
        <v>4</v>
      </c>
      <c r="F4" s="2" t="s">
        <v>81</v>
      </c>
      <c r="G4" s="2" t="s">
        <v>82</v>
      </c>
      <c r="H4" s="2"/>
    </row>
    <row r="5" customFormat="false" ht="15" hidden="false" customHeight="false" outlineLevel="0" collapsed="false">
      <c r="A5" s="5" t="s">
        <v>79</v>
      </c>
      <c r="B5" s="5" t="s">
        <v>80</v>
      </c>
      <c r="C5" s="5" t="s">
        <v>34</v>
      </c>
      <c r="D5" s="5" t="s">
        <v>35</v>
      </c>
      <c r="E5" s="5" t="n">
        <v>4</v>
      </c>
      <c r="F5" s="5" t="s">
        <v>81</v>
      </c>
      <c r="G5" s="5" t="s">
        <v>82</v>
      </c>
      <c r="H5" s="5"/>
    </row>
    <row r="6" customFormat="false" ht="15" hidden="false" customHeight="false" outlineLevel="0" collapsed="false">
      <c r="A6" s="2" t="s">
        <v>79</v>
      </c>
      <c r="B6" s="2" t="s">
        <v>83</v>
      </c>
      <c r="C6" s="2" t="s">
        <v>29</v>
      </c>
      <c r="D6" s="2" t="s">
        <v>30</v>
      </c>
      <c r="E6" s="2" t="n">
        <v>4</v>
      </c>
      <c r="F6" s="2" t="s">
        <v>83</v>
      </c>
      <c r="G6" s="2" t="s">
        <v>84</v>
      </c>
      <c r="H6" s="2" t="s">
        <v>85</v>
      </c>
    </row>
    <row r="7" customFormat="false" ht="15" hidden="false" customHeight="false" outlineLevel="0" collapsed="false">
      <c r="A7" s="5" t="s">
        <v>79</v>
      </c>
      <c r="B7" s="5" t="s">
        <v>83</v>
      </c>
      <c r="C7" s="5" t="s">
        <v>32</v>
      </c>
      <c r="D7" s="5" t="s">
        <v>33</v>
      </c>
      <c r="E7" s="5" t="n">
        <v>4</v>
      </c>
      <c r="F7" s="5" t="s">
        <v>83</v>
      </c>
      <c r="G7" s="5" t="s">
        <v>84</v>
      </c>
      <c r="H7" s="5"/>
    </row>
    <row r="8" customFormat="false" ht="15" hidden="false" customHeight="false" outlineLevel="0" collapsed="false">
      <c r="A8" s="2" t="s">
        <v>79</v>
      </c>
      <c r="B8" s="2" t="s">
        <v>83</v>
      </c>
      <c r="C8" s="2" t="s">
        <v>36</v>
      </c>
      <c r="D8" s="2" t="s">
        <v>37</v>
      </c>
      <c r="E8" s="2" t="n">
        <v>4</v>
      </c>
      <c r="F8" s="2" t="s">
        <v>83</v>
      </c>
      <c r="G8" s="2" t="s">
        <v>84</v>
      </c>
      <c r="H8" s="2"/>
    </row>
    <row r="9" customFormat="false" ht="15" hidden="false" customHeight="false" outlineLevel="0" collapsed="false">
      <c r="A9" s="5" t="s">
        <v>79</v>
      </c>
      <c r="B9" s="5" t="s">
        <v>83</v>
      </c>
      <c r="C9" s="5" t="s">
        <v>39</v>
      </c>
      <c r="D9" s="5" t="s">
        <v>40</v>
      </c>
      <c r="E9" s="5" t="n">
        <v>4</v>
      </c>
      <c r="F9" s="5" t="s">
        <v>83</v>
      </c>
      <c r="G9" s="5" t="s">
        <v>84</v>
      </c>
      <c r="H9" s="5" t="s">
        <v>86</v>
      </c>
    </row>
    <row r="10" customFormat="false" ht="15" hidden="false" customHeight="false" outlineLevel="0" collapsed="false">
      <c r="A10" s="2" t="s">
        <v>87</v>
      </c>
      <c r="B10" s="2" t="s">
        <v>80</v>
      </c>
      <c r="C10" s="2" t="s">
        <v>41</v>
      </c>
      <c r="D10" s="2" t="s">
        <v>42</v>
      </c>
      <c r="E10" s="2" t="n">
        <v>4</v>
      </c>
      <c r="F10" s="2" t="s">
        <v>81</v>
      </c>
      <c r="G10" s="2" t="s">
        <v>82</v>
      </c>
      <c r="H10" s="2"/>
    </row>
    <row r="11" customFormat="false" ht="15" hidden="false" customHeight="false" outlineLevel="0" collapsed="false">
      <c r="A11" s="5" t="s">
        <v>87</v>
      </c>
      <c r="B11" s="5" t="s">
        <v>80</v>
      </c>
      <c r="C11" s="5" t="s">
        <v>51</v>
      </c>
      <c r="D11" s="5" t="s">
        <v>52</v>
      </c>
      <c r="E11" s="5" t="n">
        <v>4</v>
      </c>
      <c r="F11" s="5" t="s">
        <v>81</v>
      </c>
      <c r="G11" s="5" t="s">
        <v>82</v>
      </c>
      <c r="H11" s="5"/>
    </row>
    <row r="12" customFormat="false" ht="15" hidden="false" customHeight="false" outlineLevel="0" collapsed="false">
      <c r="A12" s="2" t="s">
        <v>87</v>
      </c>
      <c r="B12" s="2" t="s">
        <v>80</v>
      </c>
      <c r="C12" s="2" t="s">
        <v>44</v>
      </c>
      <c r="D12" s="2" t="s">
        <v>45</v>
      </c>
      <c r="E12" s="2" t="n">
        <v>4</v>
      </c>
      <c r="F12" s="2" t="s">
        <v>81</v>
      </c>
      <c r="G12" s="2" t="s">
        <v>82</v>
      </c>
      <c r="H12" s="2" t="s">
        <v>88</v>
      </c>
    </row>
    <row r="13" customFormat="false" ht="15" hidden="false" customHeight="false" outlineLevel="0" collapsed="false">
      <c r="A13" s="5" t="s">
        <v>87</v>
      </c>
      <c r="B13" s="5" t="s">
        <v>80</v>
      </c>
      <c r="C13" s="5" t="s">
        <v>48</v>
      </c>
      <c r="D13" s="5" t="s">
        <v>49</v>
      </c>
      <c r="E13" s="5" t="n">
        <v>4</v>
      </c>
      <c r="F13" s="5" t="s">
        <v>81</v>
      </c>
      <c r="G13" s="5" t="s">
        <v>82</v>
      </c>
      <c r="H13" s="5"/>
    </row>
    <row r="14" customFormat="false" ht="15" hidden="false" customHeight="false" outlineLevel="0" collapsed="false">
      <c r="A14" s="2" t="s">
        <v>87</v>
      </c>
      <c r="B14" s="2" t="s">
        <v>83</v>
      </c>
      <c r="C14" s="2" t="s">
        <v>53</v>
      </c>
      <c r="D14" s="2" t="s">
        <v>54</v>
      </c>
      <c r="E14" s="2" t="n">
        <v>4</v>
      </c>
      <c r="F14" s="2" t="s">
        <v>83</v>
      </c>
      <c r="G14" s="2" t="s">
        <v>84</v>
      </c>
      <c r="H14" s="2"/>
    </row>
    <row r="15" customFormat="false" ht="15" hidden="false" customHeight="false" outlineLevel="0" collapsed="false">
      <c r="A15" s="5" t="s">
        <v>87</v>
      </c>
      <c r="B15" s="5" t="s">
        <v>83</v>
      </c>
      <c r="C15" s="5" t="s">
        <v>56</v>
      </c>
      <c r="D15" s="5" t="s">
        <v>57</v>
      </c>
      <c r="E15" s="5" t="n">
        <v>4</v>
      </c>
      <c r="F15" s="5" t="s">
        <v>83</v>
      </c>
      <c r="G15" s="5" t="s">
        <v>84</v>
      </c>
      <c r="H15" s="5"/>
    </row>
    <row r="16" customFormat="false" ht="15" hidden="false" customHeight="false" outlineLevel="0" collapsed="false">
      <c r="A16" s="2" t="s">
        <v>87</v>
      </c>
      <c r="B16" s="2" t="s">
        <v>83</v>
      </c>
      <c r="C16" s="2" t="s">
        <v>46</v>
      </c>
      <c r="D16" s="2" t="s">
        <v>47</v>
      </c>
      <c r="E16" s="2" t="n">
        <v>4</v>
      </c>
      <c r="F16" s="2" t="s">
        <v>83</v>
      </c>
      <c r="G16" s="2" t="s">
        <v>84</v>
      </c>
      <c r="H16" s="2"/>
    </row>
    <row r="17" customFormat="false" ht="15" hidden="false" customHeight="false" outlineLevel="0" collapsed="false">
      <c r="A17" s="5" t="s">
        <v>87</v>
      </c>
      <c r="B17" s="5" t="s">
        <v>83</v>
      </c>
      <c r="C17" s="5" t="s">
        <v>58</v>
      </c>
      <c r="D17" s="5" t="s">
        <v>59</v>
      </c>
      <c r="E17" s="5" t="n">
        <v>4</v>
      </c>
      <c r="F17" s="5" t="s">
        <v>83</v>
      </c>
      <c r="G17" s="5" t="s">
        <v>84</v>
      </c>
      <c r="H17" s="5" t="s">
        <v>89</v>
      </c>
    </row>
    <row r="18" customFormat="false" ht="15" hidden="false" customHeight="false" outlineLevel="0" collapsed="false">
      <c r="A18" s="2" t="s">
        <v>90</v>
      </c>
      <c r="B18" s="2" t="s">
        <v>80</v>
      </c>
      <c r="C18" s="2" t="s">
        <v>60</v>
      </c>
      <c r="D18" s="2" t="s">
        <v>61</v>
      </c>
      <c r="E18" s="2" t="n">
        <v>4</v>
      </c>
      <c r="F18" s="2" t="s">
        <v>81</v>
      </c>
      <c r="G18" s="2" t="s">
        <v>82</v>
      </c>
      <c r="H18" s="2"/>
    </row>
    <row r="19" customFormat="false" ht="15" hidden="false" customHeight="false" outlineLevel="0" collapsed="false">
      <c r="A19" s="5" t="s">
        <v>90</v>
      </c>
      <c r="B19" s="5" t="s">
        <v>80</v>
      </c>
      <c r="C19" s="5" t="s">
        <v>65</v>
      </c>
      <c r="D19" s="5" t="s">
        <v>66</v>
      </c>
      <c r="E19" s="5" t="n">
        <v>4</v>
      </c>
      <c r="F19" s="5" t="s">
        <v>81</v>
      </c>
      <c r="G19" s="5" t="s">
        <v>82</v>
      </c>
      <c r="H19" s="5"/>
    </row>
    <row r="20" customFormat="false" ht="15" hidden="false" customHeight="false" outlineLevel="0" collapsed="false">
      <c r="A20" s="2" t="s">
        <v>90</v>
      </c>
      <c r="B20" s="2" t="s">
        <v>83</v>
      </c>
      <c r="C20" s="2" t="s">
        <v>63</v>
      </c>
      <c r="D20" s="2" t="s">
        <v>64</v>
      </c>
      <c r="E20" s="2" t="n">
        <v>4</v>
      </c>
      <c r="F20" s="2" t="s">
        <v>83</v>
      </c>
      <c r="G20" s="2" t="s">
        <v>84</v>
      </c>
      <c r="H20" s="2"/>
    </row>
    <row r="21" customFormat="false" ht="15" hidden="false" customHeight="false" outlineLevel="0" collapsed="false">
      <c r="A21" s="5" t="s">
        <v>90</v>
      </c>
      <c r="B21" s="5" t="s">
        <v>83</v>
      </c>
      <c r="C21" s="5" t="s">
        <v>67</v>
      </c>
      <c r="D21" s="5" t="s">
        <v>68</v>
      </c>
      <c r="E21" s="5" t="n">
        <v>4</v>
      </c>
      <c r="F21" s="5" t="s">
        <v>83</v>
      </c>
      <c r="G21" s="5" t="s">
        <v>84</v>
      </c>
      <c r="H21" s="5"/>
    </row>
    <row r="22" customFormat="false" ht="15" hidden="false" customHeight="false" outlineLevel="0" collapsed="false">
      <c r="A22" s="2" t="s">
        <v>90</v>
      </c>
      <c r="B22" s="2" t="s">
        <v>83</v>
      </c>
      <c r="C22" s="2" t="s">
        <v>69</v>
      </c>
      <c r="D22" s="2" t="s">
        <v>70</v>
      </c>
      <c r="E22" s="2" t="n">
        <v>4</v>
      </c>
      <c r="F22" s="2" t="s">
        <v>83</v>
      </c>
      <c r="G22" s="2" t="s">
        <v>84</v>
      </c>
      <c r="H22" s="2" t="s">
        <v>91</v>
      </c>
    </row>
    <row r="23" customFormat="false" ht="15" hidden="false" customHeight="false" outlineLevel="0" collapsed="false">
      <c r="A23" s="5" t="s">
        <v>90</v>
      </c>
      <c r="B23" s="5" t="s">
        <v>83</v>
      </c>
      <c r="C23" s="5" t="s">
        <v>72</v>
      </c>
      <c r="D23" s="5" t="s">
        <v>73</v>
      </c>
      <c r="E23" s="5" t="n">
        <v>4</v>
      </c>
      <c r="F23" s="5" t="s">
        <v>83</v>
      </c>
      <c r="G23" s="5" t="s">
        <v>84</v>
      </c>
      <c r="H23" s="5"/>
    </row>
  </sheetData>
  <autoFilter ref="A1:H23"/>
  <dataValidations count="1">
    <dataValidation allowBlank="false" errorStyle="stop" operator="between" showDropDown="false" showErrorMessage="false" showInputMessage="false" sqref="F2:F23" type="list">
      <formula1>"Required,Elective"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6" min="6" style="0" width="38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1" t="s">
        <v>92</v>
      </c>
      <c r="B1" s="1" t="s">
        <v>93</v>
      </c>
      <c r="C1" s="1" t="s">
        <v>74</v>
      </c>
      <c r="D1" s="1" t="s">
        <v>8</v>
      </c>
      <c r="E1" s="1" t="s">
        <v>0</v>
      </c>
      <c r="F1" s="1" t="s">
        <v>1</v>
      </c>
      <c r="G1" s="1" t="s">
        <v>2</v>
      </c>
      <c r="H1" s="1" t="s">
        <v>94</v>
      </c>
      <c r="I1" s="1" t="s">
        <v>95</v>
      </c>
      <c r="J1" s="1" t="s">
        <v>96</v>
      </c>
    </row>
    <row r="2" customFormat="false" ht="15" hidden="false" customHeight="false" outlineLevel="0" collapsed="false">
      <c r="A2" s="2" t="s">
        <v>97</v>
      </c>
      <c r="B2" s="2" t="s">
        <v>98</v>
      </c>
      <c r="C2" s="2" t="s">
        <v>87</v>
      </c>
      <c r="D2" s="2" t="s">
        <v>17</v>
      </c>
      <c r="E2" s="2" t="s">
        <v>34</v>
      </c>
      <c r="F2" s="2" t="s">
        <v>35</v>
      </c>
      <c r="G2" s="2" t="n">
        <v>4</v>
      </c>
      <c r="H2" s="2" t="s">
        <v>99</v>
      </c>
      <c r="I2" s="4" t="n">
        <v>46081</v>
      </c>
      <c r="J2" s="2" t="s">
        <v>100</v>
      </c>
    </row>
    <row r="3" customFormat="false" ht="15" hidden="false" customHeight="false" outlineLevel="0" collapsed="false">
      <c r="A3" s="5" t="s">
        <v>97</v>
      </c>
      <c r="B3" s="5" t="s">
        <v>98</v>
      </c>
      <c r="C3" s="5" t="s">
        <v>87</v>
      </c>
      <c r="D3" s="5" t="s">
        <v>17</v>
      </c>
      <c r="E3" s="5" t="s">
        <v>44</v>
      </c>
      <c r="F3" s="5" t="s">
        <v>45</v>
      </c>
      <c r="G3" s="5" t="n">
        <v>4</v>
      </c>
      <c r="H3" s="5" t="s">
        <v>101</v>
      </c>
      <c r="I3" s="7" t="n">
        <v>46091</v>
      </c>
      <c r="J3" s="5" t="s">
        <v>102</v>
      </c>
    </row>
    <row r="4" customFormat="false" ht="15" hidden="false" customHeight="false" outlineLevel="0" collapsed="false">
      <c r="A4" s="2" t="s">
        <v>97</v>
      </c>
      <c r="B4" s="2" t="s">
        <v>98</v>
      </c>
      <c r="C4" s="2" t="s">
        <v>87</v>
      </c>
      <c r="D4" s="2" t="s">
        <v>17</v>
      </c>
      <c r="E4" s="2" t="s">
        <v>39</v>
      </c>
      <c r="F4" s="2" t="s">
        <v>40</v>
      </c>
      <c r="G4" s="2" t="n">
        <v>4</v>
      </c>
      <c r="H4" s="2" t="s">
        <v>101</v>
      </c>
      <c r="I4" s="4" t="n">
        <v>46048</v>
      </c>
      <c r="J4" s="2" t="s">
        <v>102</v>
      </c>
    </row>
    <row r="5" customFormat="false" ht="15" hidden="false" customHeight="false" outlineLevel="0" collapsed="false">
      <c r="A5" s="5" t="s">
        <v>97</v>
      </c>
      <c r="B5" s="5" t="s">
        <v>98</v>
      </c>
      <c r="C5" s="5" t="s">
        <v>87</v>
      </c>
      <c r="D5" s="5" t="s">
        <v>17</v>
      </c>
      <c r="E5" s="5" t="s">
        <v>32</v>
      </c>
      <c r="F5" s="5" t="s">
        <v>33</v>
      </c>
      <c r="G5" s="5" t="n">
        <v>4</v>
      </c>
      <c r="H5" s="5" t="s">
        <v>101</v>
      </c>
      <c r="I5" s="7" t="n">
        <v>46074</v>
      </c>
      <c r="J5" s="5" t="s">
        <v>102</v>
      </c>
    </row>
    <row r="6" customFormat="false" ht="15" hidden="false" customHeight="false" outlineLevel="0" collapsed="false">
      <c r="A6" s="2" t="s">
        <v>103</v>
      </c>
      <c r="B6" s="2" t="s">
        <v>104</v>
      </c>
      <c r="C6" s="2" t="s">
        <v>87</v>
      </c>
      <c r="D6" s="2" t="s">
        <v>24</v>
      </c>
      <c r="E6" s="2" t="s">
        <v>48</v>
      </c>
      <c r="F6" s="2" t="s">
        <v>49</v>
      </c>
      <c r="G6" s="2" t="n">
        <v>4</v>
      </c>
      <c r="H6" s="2" t="s">
        <v>101</v>
      </c>
      <c r="I6" s="4" t="n">
        <v>46092</v>
      </c>
      <c r="J6" s="2" t="s">
        <v>102</v>
      </c>
    </row>
    <row r="7" customFormat="false" ht="15" hidden="false" customHeight="false" outlineLevel="0" collapsed="false">
      <c r="A7" s="5" t="s">
        <v>103</v>
      </c>
      <c r="B7" s="5" t="s">
        <v>104</v>
      </c>
      <c r="C7" s="5" t="s">
        <v>87</v>
      </c>
      <c r="D7" s="5" t="s">
        <v>24</v>
      </c>
      <c r="E7" s="5" t="s">
        <v>21</v>
      </c>
      <c r="F7" s="5" t="s">
        <v>22</v>
      </c>
      <c r="G7" s="5" t="n">
        <v>4</v>
      </c>
      <c r="H7" s="5" t="s">
        <v>101</v>
      </c>
      <c r="I7" s="7" t="n">
        <v>46064</v>
      </c>
      <c r="J7" s="5" t="s">
        <v>102</v>
      </c>
    </row>
    <row r="8" customFormat="false" ht="15" hidden="false" customHeight="false" outlineLevel="0" collapsed="false">
      <c r="A8" s="2" t="s">
        <v>105</v>
      </c>
      <c r="B8" s="2" t="s">
        <v>106</v>
      </c>
      <c r="C8" s="2" t="s">
        <v>79</v>
      </c>
      <c r="D8" s="2" t="s">
        <v>17</v>
      </c>
      <c r="E8" s="2" t="s">
        <v>51</v>
      </c>
      <c r="F8" s="2" t="s">
        <v>52</v>
      </c>
      <c r="G8" s="2" t="n">
        <v>4</v>
      </c>
      <c r="H8" s="2" t="s">
        <v>101</v>
      </c>
      <c r="I8" s="4" t="n">
        <v>46124</v>
      </c>
      <c r="J8" s="2" t="s">
        <v>102</v>
      </c>
    </row>
    <row r="9" customFormat="false" ht="15" hidden="false" customHeight="false" outlineLevel="0" collapsed="false">
      <c r="A9" s="5" t="s">
        <v>105</v>
      </c>
      <c r="B9" s="5" t="s">
        <v>106</v>
      </c>
      <c r="C9" s="5" t="s">
        <v>79</v>
      </c>
      <c r="D9" s="5" t="s">
        <v>17</v>
      </c>
      <c r="E9" s="5" t="s">
        <v>29</v>
      </c>
      <c r="F9" s="5" t="s">
        <v>30</v>
      </c>
      <c r="G9" s="5" t="n">
        <v>4</v>
      </c>
      <c r="H9" s="5" t="s">
        <v>107</v>
      </c>
      <c r="I9" s="7" t="n">
        <v>46060</v>
      </c>
      <c r="J9" s="5" t="s">
        <v>100</v>
      </c>
    </row>
    <row r="10" customFormat="false" ht="15" hidden="false" customHeight="false" outlineLevel="0" collapsed="false">
      <c r="A10" s="2" t="s">
        <v>105</v>
      </c>
      <c r="B10" s="2" t="s">
        <v>106</v>
      </c>
      <c r="C10" s="2" t="s">
        <v>79</v>
      </c>
      <c r="D10" s="2" t="s">
        <v>17</v>
      </c>
      <c r="E10" s="2" t="s">
        <v>44</v>
      </c>
      <c r="F10" s="2" t="s">
        <v>45</v>
      </c>
      <c r="G10" s="2" t="n">
        <v>4</v>
      </c>
      <c r="H10" s="2" t="s">
        <v>99</v>
      </c>
      <c r="I10" s="4" t="n">
        <v>46101</v>
      </c>
      <c r="J10" s="2" t="s">
        <v>100</v>
      </c>
    </row>
    <row r="11" customFormat="false" ht="15" hidden="false" customHeight="false" outlineLevel="0" collapsed="false">
      <c r="A11" s="5" t="s">
        <v>108</v>
      </c>
      <c r="B11" s="5" t="s">
        <v>109</v>
      </c>
      <c r="C11" s="5" t="s">
        <v>87</v>
      </c>
      <c r="D11" s="5" t="s">
        <v>24</v>
      </c>
      <c r="E11" s="5" t="s">
        <v>56</v>
      </c>
      <c r="F11" s="5" t="s">
        <v>57</v>
      </c>
      <c r="G11" s="5" t="n">
        <v>4</v>
      </c>
      <c r="H11" s="5" t="s">
        <v>101</v>
      </c>
      <c r="I11" s="7" t="n">
        <v>46026</v>
      </c>
      <c r="J11" s="5" t="s">
        <v>102</v>
      </c>
    </row>
    <row r="12" customFormat="false" ht="15" hidden="false" customHeight="false" outlineLevel="0" collapsed="false">
      <c r="A12" s="2" t="s">
        <v>108</v>
      </c>
      <c r="B12" s="2" t="s">
        <v>109</v>
      </c>
      <c r="C12" s="2" t="s">
        <v>87</v>
      </c>
      <c r="D12" s="2" t="s">
        <v>24</v>
      </c>
      <c r="E12" s="2" t="s">
        <v>51</v>
      </c>
      <c r="F12" s="2" t="s">
        <v>52</v>
      </c>
      <c r="G12" s="2" t="n">
        <v>4</v>
      </c>
      <c r="H12" s="2" t="s">
        <v>101</v>
      </c>
      <c r="I12" s="4" t="n">
        <v>46073</v>
      </c>
      <c r="J12" s="2" t="s">
        <v>102</v>
      </c>
    </row>
    <row r="13" customFormat="false" ht="15" hidden="false" customHeight="false" outlineLevel="0" collapsed="false">
      <c r="A13" s="5" t="s">
        <v>108</v>
      </c>
      <c r="B13" s="5" t="s">
        <v>109</v>
      </c>
      <c r="C13" s="5" t="s">
        <v>87</v>
      </c>
      <c r="D13" s="5" t="s">
        <v>24</v>
      </c>
      <c r="E13" s="5" t="s">
        <v>48</v>
      </c>
      <c r="F13" s="5" t="s">
        <v>49</v>
      </c>
      <c r="G13" s="5" t="n">
        <v>4</v>
      </c>
      <c r="H13" s="5" t="s">
        <v>101</v>
      </c>
      <c r="I13" s="7" t="n">
        <v>46059</v>
      </c>
      <c r="J13" s="5" t="s">
        <v>102</v>
      </c>
    </row>
    <row r="14" customFormat="false" ht="15" hidden="false" customHeight="false" outlineLevel="0" collapsed="false">
      <c r="A14" s="2" t="s">
        <v>110</v>
      </c>
      <c r="B14" s="2" t="s">
        <v>111</v>
      </c>
      <c r="C14" s="2" t="s">
        <v>90</v>
      </c>
      <c r="D14" s="2" t="s">
        <v>17</v>
      </c>
      <c r="E14" s="2" t="s">
        <v>21</v>
      </c>
      <c r="F14" s="2" t="s">
        <v>22</v>
      </c>
      <c r="G14" s="2" t="n">
        <v>4</v>
      </c>
      <c r="H14" s="2" t="s">
        <v>107</v>
      </c>
      <c r="I14" s="4" t="n">
        <v>46030</v>
      </c>
      <c r="J14" s="2" t="s">
        <v>107</v>
      </c>
    </row>
    <row r="15" customFormat="false" ht="15" hidden="false" customHeight="false" outlineLevel="0" collapsed="false">
      <c r="A15" s="5" t="s">
        <v>110</v>
      </c>
      <c r="B15" s="5" t="s">
        <v>111</v>
      </c>
      <c r="C15" s="5" t="s">
        <v>90</v>
      </c>
      <c r="D15" s="5" t="s">
        <v>17</v>
      </c>
      <c r="E15" s="5" t="s">
        <v>39</v>
      </c>
      <c r="F15" s="5" t="s">
        <v>40</v>
      </c>
      <c r="G15" s="5" t="n">
        <v>4</v>
      </c>
      <c r="H15" s="5" t="s">
        <v>101</v>
      </c>
      <c r="I15" s="7" t="n">
        <v>46137</v>
      </c>
      <c r="J15" s="5" t="s">
        <v>102</v>
      </c>
    </row>
    <row r="16" customFormat="false" ht="15" hidden="false" customHeight="false" outlineLevel="0" collapsed="false">
      <c r="A16" s="2" t="s">
        <v>112</v>
      </c>
      <c r="B16" s="2" t="s">
        <v>113</v>
      </c>
      <c r="C16" s="2" t="s">
        <v>87</v>
      </c>
      <c r="D16" s="2" t="s">
        <v>24</v>
      </c>
      <c r="E16" s="2" t="s">
        <v>36</v>
      </c>
      <c r="F16" s="2" t="s">
        <v>37</v>
      </c>
      <c r="G16" s="2" t="n">
        <v>4</v>
      </c>
      <c r="H16" s="2" t="s">
        <v>101</v>
      </c>
      <c r="I16" s="4" t="n">
        <v>46081</v>
      </c>
      <c r="J16" s="2" t="s">
        <v>102</v>
      </c>
    </row>
    <row r="17" customFormat="false" ht="15" hidden="false" customHeight="false" outlineLevel="0" collapsed="false">
      <c r="A17" s="5" t="s">
        <v>112</v>
      </c>
      <c r="B17" s="5" t="s">
        <v>113</v>
      </c>
      <c r="C17" s="5" t="s">
        <v>87</v>
      </c>
      <c r="D17" s="5" t="s">
        <v>24</v>
      </c>
      <c r="E17" s="5" t="s">
        <v>60</v>
      </c>
      <c r="F17" s="5" t="s">
        <v>61</v>
      </c>
      <c r="G17" s="5" t="n">
        <v>4</v>
      </c>
      <c r="H17" s="5" t="s">
        <v>101</v>
      </c>
      <c r="I17" s="7" t="n">
        <v>46059</v>
      </c>
      <c r="J17" s="5" t="s">
        <v>102</v>
      </c>
    </row>
    <row r="18" customFormat="false" ht="15" hidden="false" customHeight="false" outlineLevel="0" collapsed="false">
      <c r="A18" s="2" t="s">
        <v>114</v>
      </c>
      <c r="B18" s="2" t="s">
        <v>115</v>
      </c>
      <c r="C18" s="2" t="s">
        <v>90</v>
      </c>
      <c r="D18" s="2" t="s">
        <v>24</v>
      </c>
      <c r="E18" s="2" t="s">
        <v>21</v>
      </c>
      <c r="F18" s="2" t="s">
        <v>22</v>
      </c>
      <c r="G18" s="2" t="n">
        <v>4</v>
      </c>
      <c r="H18" s="2" t="s">
        <v>101</v>
      </c>
      <c r="I18" s="4" t="n">
        <v>46048</v>
      </c>
      <c r="J18" s="2" t="s">
        <v>102</v>
      </c>
    </row>
    <row r="19" customFormat="false" ht="15" hidden="false" customHeight="false" outlineLevel="0" collapsed="false">
      <c r="A19" s="5" t="s">
        <v>114</v>
      </c>
      <c r="B19" s="5" t="s">
        <v>115</v>
      </c>
      <c r="C19" s="5" t="s">
        <v>90</v>
      </c>
      <c r="D19" s="5" t="s">
        <v>24</v>
      </c>
      <c r="E19" s="5" t="s">
        <v>39</v>
      </c>
      <c r="F19" s="5" t="s">
        <v>40</v>
      </c>
      <c r="G19" s="5" t="n">
        <v>4</v>
      </c>
      <c r="H19" s="5" t="s">
        <v>101</v>
      </c>
      <c r="I19" s="7" t="n">
        <v>46124</v>
      </c>
      <c r="J19" s="5" t="s">
        <v>102</v>
      </c>
    </row>
    <row r="20" customFormat="false" ht="15" hidden="false" customHeight="false" outlineLevel="0" collapsed="false">
      <c r="A20" s="2" t="s">
        <v>114</v>
      </c>
      <c r="B20" s="2" t="s">
        <v>115</v>
      </c>
      <c r="C20" s="2" t="s">
        <v>90</v>
      </c>
      <c r="D20" s="2" t="s">
        <v>24</v>
      </c>
      <c r="E20" s="2" t="s">
        <v>63</v>
      </c>
      <c r="F20" s="2" t="s">
        <v>64</v>
      </c>
      <c r="G20" s="2" t="n">
        <v>4</v>
      </c>
      <c r="H20" s="2" t="s">
        <v>99</v>
      </c>
      <c r="I20" s="4" t="n">
        <v>46074</v>
      </c>
      <c r="J20" s="2" t="s">
        <v>102</v>
      </c>
    </row>
    <row r="21" customFormat="false" ht="15" hidden="false" customHeight="false" outlineLevel="0" collapsed="false">
      <c r="A21" s="5" t="s">
        <v>116</v>
      </c>
      <c r="B21" s="5" t="s">
        <v>117</v>
      </c>
      <c r="C21" s="5" t="s">
        <v>87</v>
      </c>
      <c r="D21" s="5" t="s">
        <v>24</v>
      </c>
      <c r="E21" s="5" t="s">
        <v>65</v>
      </c>
      <c r="F21" s="5" t="s">
        <v>66</v>
      </c>
      <c r="G21" s="5" t="n">
        <v>4</v>
      </c>
      <c r="H21" s="5" t="s">
        <v>101</v>
      </c>
      <c r="I21" s="7" t="n">
        <v>46045</v>
      </c>
      <c r="J21" s="5" t="s">
        <v>102</v>
      </c>
    </row>
    <row r="22" customFormat="false" ht="15" hidden="false" customHeight="false" outlineLevel="0" collapsed="false">
      <c r="A22" s="2" t="s">
        <v>116</v>
      </c>
      <c r="B22" s="2" t="s">
        <v>117</v>
      </c>
      <c r="C22" s="2" t="s">
        <v>87</v>
      </c>
      <c r="D22" s="2" t="s">
        <v>24</v>
      </c>
      <c r="E22" s="2" t="s">
        <v>34</v>
      </c>
      <c r="F22" s="2" t="s">
        <v>35</v>
      </c>
      <c r="G22" s="2" t="n">
        <v>4</v>
      </c>
      <c r="H22" s="2" t="s">
        <v>101</v>
      </c>
      <c r="I22" s="4" t="n">
        <v>46122</v>
      </c>
      <c r="J22" s="2" t="s">
        <v>102</v>
      </c>
    </row>
    <row r="23" customFormat="false" ht="15" hidden="false" customHeight="false" outlineLevel="0" collapsed="false">
      <c r="A23" s="5" t="s">
        <v>118</v>
      </c>
      <c r="B23" s="5" t="s">
        <v>119</v>
      </c>
      <c r="C23" s="5" t="s">
        <v>87</v>
      </c>
      <c r="D23" s="5" t="s">
        <v>17</v>
      </c>
      <c r="E23" s="5" t="s">
        <v>36</v>
      </c>
      <c r="F23" s="5" t="s">
        <v>37</v>
      </c>
      <c r="G23" s="5" t="n">
        <v>4</v>
      </c>
      <c r="H23" s="5" t="s">
        <v>101</v>
      </c>
      <c r="I23" s="7" t="n">
        <v>46041</v>
      </c>
      <c r="J23" s="5" t="s">
        <v>102</v>
      </c>
    </row>
    <row r="24" customFormat="false" ht="15" hidden="false" customHeight="false" outlineLevel="0" collapsed="false">
      <c r="A24" s="2" t="s">
        <v>118</v>
      </c>
      <c r="B24" s="2" t="s">
        <v>119</v>
      </c>
      <c r="C24" s="2" t="s">
        <v>87</v>
      </c>
      <c r="D24" s="2" t="s">
        <v>17</v>
      </c>
      <c r="E24" s="2" t="s">
        <v>26</v>
      </c>
      <c r="F24" s="2" t="s">
        <v>27</v>
      </c>
      <c r="G24" s="2" t="n">
        <v>4</v>
      </c>
      <c r="H24" s="2" t="s">
        <v>101</v>
      </c>
      <c r="I24" s="4" t="n">
        <v>46030</v>
      </c>
      <c r="J24" s="2" t="s">
        <v>102</v>
      </c>
    </row>
    <row r="25" customFormat="false" ht="15" hidden="false" customHeight="false" outlineLevel="0" collapsed="false">
      <c r="A25" s="5" t="s">
        <v>118</v>
      </c>
      <c r="B25" s="5" t="s">
        <v>119</v>
      </c>
      <c r="C25" s="5" t="s">
        <v>87</v>
      </c>
      <c r="D25" s="5" t="s">
        <v>17</v>
      </c>
      <c r="E25" s="5" t="s">
        <v>13</v>
      </c>
      <c r="F25" s="5" t="s">
        <v>14</v>
      </c>
      <c r="G25" s="5" t="n">
        <v>4</v>
      </c>
      <c r="H25" s="5" t="s">
        <v>107</v>
      </c>
      <c r="I25" s="7" t="n">
        <v>46064</v>
      </c>
      <c r="J25" s="5" t="s">
        <v>100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87</v>
      </c>
      <c r="D26" s="2" t="s">
        <v>17</v>
      </c>
      <c r="E26" s="2" t="s">
        <v>46</v>
      </c>
      <c r="F26" s="2" t="s">
        <v>47</v>
      </c>
      <c r="G26" s="2" t="n">
        <v>4</v>
      </c>
      <c r="H26" s="2" t="s">
        <v>101</v>
      </c>
      <c r="I26" s="4" t="n">
        <v>46132</v>
      </c>
      <c r="J26" s="2" t="s">
        <v>102</v>
      </c>
    </row>
    <row r="27" customFormat="false" ht="15" hidden="false" customHeight="false" outlineLevel="0" collapsed="false">
      <c r="A27" s="5" t="s">
        <v>120</v>
      </c>
      <c r="B27" s="5" t="s">
        <v>121</v>
      </c>
      <c r="C27" s="5" t="s">
        <v>87</v>
      </c>
      <c r="D27" s="5" t="s">
        <v>17</v>
      </c>
      <c r="E27" s="5" t="s">
        <v>46</v>
      </c>
      <c r="F27" s="5" t="s">
        <v>47</v>
      </c>
      <c r="G27" s="5" t="n">
        <v>4</v>
      </c>
      <c r="H27" s="5" t="s">
        <v>99</v>
      </c>
      <c r="I27" s="7" t="n">
        <v>46108</v>
      </c>
      <c r="J27" s="5" t="s">
        <v>100</v>
      </c>
    </row>
    <row r="28" customFormat="false" ht="15" hidden="false" customHeight="false" outlineLevel="0" collapsed="false">
      <c r="A28" s="2" t="s">
        <v>120</v>
      </c>
      <c r="B28" s="2" t="s">
        <v>121</v>
      </c>
      <c r="C28" s="2" t="s">
        <v>87</v>
      </c>
      <c r="D28" s="2" t="s">
        <v>17</v>
      </c>
      <c r="E28" s="2" t="s">
        <v>67</v>
      </c>
      <c r="F28" s="2" t="s">
        <v>68</v>
      </c>
      <c r="G28" s="2" t="n">
        <v>4</v>
      </c>
      <c r="H28" s="2" t="s">
        <v>99</v>
      </c>
      <c r="I28" s="4" t="n">
        <v>46091</v>
      </c>
      <c r="J28" s="2" t="s">
        <v>102</v>
      </c>
    </row>
    <row r="29" customFormat="false" ht="15" hidden="false" customHeight="false" outlineLevel="0" collapsed="false">
      <c r="A29" s="5" t="s">
        <v>120</v>
      </c>
      <c r="B29" s="5" t="s">
        <v>121</v>
      </c>
      <c r="C29" s="5" t="s">
        <v>87</v>
      </c>
      <c r="D29" s="5" t="s">
        <v>17</v>
      </c>
      <c r="E29" s="5" t="s">
        <v>44</v>
      </c>
      <c r="F29" s="5" t="s">
        <v>45</v>
      </c>
      <c r="G29" s="5" t="n">
        <v>4</v>
      </c>
      <c r="H29" s="5" t="s">
        <v>101</v>
      </c>
      <c r="I29" s="7" t="n">
        <v>46072</v>
      </c>
      <c r="J29" s="5" t="s">
        <v>102</v>
      </c>
    </row>
    <row r="30" customFormat="false" ht="15" hidden="false" customHeight="false" outlineLevel="0" collapsed="false">
      <c r="A30" s="2" t="s">
        <v>120</v>
      </c>
      <c r="B30" s="2" t="s">
        <v>121</v>
      </c>
      <c r="C30" s="2" t="s">
        <v>87</v>
      </c>
      <c r="D30" s="2" t="s">
        <v>17</v>
      </c>
      <c r="E30" s="2" t="s">
        <v>34</v>
      </c>
      <c r="F30" s="2" t="s">
        <v>35</v>
      </c>
      <c r="G30" s="2" t="n">
        <v>4</v>
      </c>
      <c r="H30" s="2" t="s">
        <v>107</v>
      </c>
      <c r="I30" s="4" t="n">
        <v>46098</v>
      </c>
      <c r="J30" s="2" t="s">
        <v>102</v>
      </c>
    </row>
    <row r="31" customFormat="false" ht="15" hidden="false" customHeight="false" outlineLevel="0" collapsed="false">
      <c r="A31" s="5" t="s">
        <v>122</v>
      </c>
      <c r="B31" s="5" t="s">
        <v>123</v>
      </c>
      <c r="C31" s="5" t="s">
        <v>79</v>
      </c>
      <c r="D31" s="5" t="s">
        <v>24</v>
      </c>
      <c r="E31" s="5" t="s">
        <v>21</v>
      </c>
      <c r="F31" s="5" t="s">
        <v>22</v>
      </c>
      <c r="G31" s="5" t="n">
        <v>4</v>
      </c>
      <c r="H31" s="5" t="s">
        <v>101</v>
      </c>
      <c r="I31" s="7" t="n">
        <v>46085</v>
      </c>
      <c r="J31" s="5" t="s">
        <v>102</v>
      </c>
    </row>
    <row r="32" customFormat="false" ht="15" hidden="false" customHeight="false" outlineLevel="0" collapsed="false">
      <c r="A32" s="2" t="s">
        <v>122</v>
      </c>
      <c r="B32" s="2" t="s">
        <v>123</v>
      </c>
      <c r="C32" s="2" t="s">
        <v>79</v>
      </c>
      <c r="D32" s="2" t="s">
        <v>24</v>
      </c>
      <c r="E32" s="2" t="s">
        <v>39</v>
      </c>
      <c r="F32" s="2" t="s">
        <v>40</v>
      </c>
      <c r="G32" s="2" t="n">
        <v>4</v>
      </c>
      <c r="H32" s="2" t="s">
        <v>101</v>
      </c>
      <c r="I32" s="4" t="n">
        <v>46085</v>
      </c>
      <c r="J32" s="2" t="s">
        <v>102</v>
      </c>
    </row>
    <row r="33" customFormat="false" ht="15" hidden="false" customHeight="false" outlineLevel="0" collapsed="false">
      <c r="A33" s="5" t="s">
        <v>124</v>
      </c>
      <c r="B33" s="5" t="s">
        <v>125</v>
      </c>
      <c r="C33" s="5" t="s">
        <v>87</v>
      </c>
      <c r="D33" s="5" t="s">
        <v>24</v>
      </c>
      <c r="E33" s="5" t="s">
        <v>58</v>
      </c>
      <c r="F33" s="5" t="s">
        <v>59</v>
      </c>
      <c r="G33" s="5" t="n">
        <v>4</v>
      </c>
      <c r="H33" s="5" t="s">
        <v>101</v>
      </c>
      <c r="I33" s="7" t="n">
        <v>46113</v>
      </c>
      <c r="J33" s="5" t="s">
        <v>102</v>
      </c>
    </row>
    <row r="34" customFormat="false" ht="15" hidden="false" customHeight="false" outlineLevel="0" collapsed="false">
      <c r="A34" s="2" t="s">
        <v>124</v>
      </c>
      <c r="B34" s="2" t="s">
        <v>125</v>
      </c>
      <c r="C34" s="2" t="s">
        <v>87</v>
      </c>
      <c r="D34" s="2" t="s">
        <v>24</v>
      </c>
      <c r="E34" s="2" t="s">
        <v>63</v>
      </c>
      <c r="F34" s="2" t="s">
        <v>64</v>
      </c>
      <c r="G34" s="2" t="n">
        <v>4</v>
      </c>
      <c r="H34" s="2" t="s">
        <v>101</v>
      </c>
      <c r="I34" s="4" t="n">
        <v>46066</v>
      </c>
      <c r="J34" s="2" t="s">
        <v>102</v>
      </c>
    </row>
    <row r="35" customFormat="false" ht="15" hidden="false" customHeight="false" outlineLevel="0" collapsed="false">
      <c r="A35" s="5" t="s">
        <v>126</v>
      </c>
      <c r="B35" s="5" t="s">
        <v>127</v>
      </c>
      <c r="C35" s="5" t="s">
        <v>87</v>
      </c>
      <c r="D35" s="5" t="s">
        <v>24</v>
      </c>
      <c r="E35" s="5" t="s">
        <v>56</v>
      </c>
      <c r="F35" s="5" t="s">
        <v>57</v>
      </c>
      <c r="G35" s="5" t="n">
        <v>4</v>
      </c>
      <c r="H35" s="5" t="s">
        <v>99</v>
      </c>
      <c r="I35" s="7" t="n">
        <v>46041</v>
      </c>
      <c r="J35" s="5" t="s">
        <v>100</v>
      </c>
    </row>
    <row r="36" customFormat="false" ht="15" hidden="false" customHeight="false" outlineLevel="0" collapsed="false">
      <c r="A36" s="2" t="s">
        <v>126</v>
      </c>
      <c r="B36" s="2" t="s">
        <v>127</v>
      </c>
      <c r="C36" s="2" t="s">
        <v>87</v>
      </c>
      <c r="D36" s="2" t="s">
        <v>24</v>
      </c>
      <c r="E36" s="2" t="s">
        <v>46</v>
      </c>
      <c r="F36" s="2" t="s">
        <v>47</v>
      </c>
      <c r="G36" s="2" t="n">
        <v>4</v>
      </c>
      <c r="H36" s="2" t="s">
        <v>99</v>
      </c>
      <c r="I36" s="4" t="n">
        <v>46069</v>
      </c>
      <c r="J36" s="2" t="s">
        <v>100</v>
      </c>
    </row>
    <row r="37" customFormat="false" ht="15" hidden="false" customHeight="false" outlineLevel="0" collapsed="false">
      <c r="A37" s="5" t="s">
        <v>126</v>
      </c>
      <c r="B37" s="5" t="s">
        <v>127</v>
      </c>
      <c r="C37" s="5" t="s">
        <v>87</v>
      </c>
      <c r="D37" s="5" t="s">
        <v>24</v>
      </c>
      <c r="E37" s="5" t="s">
        <v>72</v>
      </c>
      <c r="F37" s="5" t="s">
        <v>73</v>
      </c>
      <c r="G37" s="5" t="n">
        <v>4</v>
      </c>
      <c r="H37" s="5" t="s">
        <v>101</v>
      </c>
      <c r="I37" s="7" t="n">
        <v>46135</v>
      </c>
      <c r="J37" s="5" t="s">
        <v>102</v>
      </c>
    </row>
    <row r="38" customFormat="false" ht="15" hidden="false" customHeight="false" outlineLevel="0" collapsed="false">
      <c r="A38" s="2" t="s">
        <v>126</v>
      </c>
      <c r="B38" s="2" t="s">
        <v>127</v>
      </c>
      <c r="C38" s="2" t="s">
        <v>87</v>
      </c>
      <c r="D38" s="2" t="s">
        <v>24</v>
      </c>
      <c r="E38" s="2" t="s">
        <v>34</v>
      </c>
      <c r="F38" s="2" t="s">
        <v>35</v>
      </c>
      <c r="G38" s="2" t="n">
        <v>4</v>
      </c>
      <c r="H38" s="2" t="s">
        <v>101</v>
      </c>
      <c r="I38" s="4" t="n">
        <v>46139</v>
      </c>
      <c r="J38" s="2" t="s">
        <v>102</v>
      </c>
    </row>
    <row r="39" customFormat="false" ht="15" hidden="false" customHeight="false" outlineLevel="0" collapsed="false">
      <c r="A39" s="5" t="s">
        <v>128</v>
      </c>
      <c r="B39" s="5" t="s">
        <v>129</v>
      </c>
      <c r="C39" s="5" t="s">
        <v>79</v>
      </c>
      <c r="D39" s="5" t="s">
        <v>24</v>
      </c>
      <c r="E39" s="5" t="s">
        <v>69</v>
      </c>
      <c r="F39" s="5" t="s">
        <v>70</v>
      </c>
      <c r="G39" s="5" t="n">
        <v>4</v>
      </c>
      <c r="H39" s="5" t="s">
        <v>99</v>
      </c>
      <c r="I39" s="7" t="n">
        <v>46096</v>
      </c>
      <c r="J39" s="5" t="s">
        <v>100</v>
      </c>
    </row>
    <row r="40" customFormat="false" ht="15" hidden="false" customHeight="false" outlineLevel="0" collapsed="false">
      <c r="A40" s="2" t="s">
        <v>128</v>
      </c>
      <c r="B40" s="2" t="s">
        <v>129</v>
      </c>
      <c r="C40" s="2" t="s">
        <v>79</v>
      </c>
      <c r="D40" s="2" t="s">
        <v>24</v>
      </c>
      <c r="E40" s="2" t="s">
        <v>48</v>
      </c>
      <c r="F40" s="2" t="s">
        <v>49</v>
      </c>
      <c r="G40" s="2" t="n">
        <v>4</v>
      </c>
      <c r="H40" s="2" t="s">
        <v>99</v>
      </c>
      <c r="I40" s="4" t="n">
        <v>46069</v>
      </c>
      <c r="J40" s="2" t="s">
        <v>107</v>
      </c>
    </row>
    <row r="41" customFormat="false" ht="15" hidden="false" customHeight="false" outlineLevel="0" collapsed="false">
      <c r="A41" s="5" t="s">
        <v>128</v>
      </c>
      <c r="B41" s="5" t="s">
        <v>129</v>
      </c>
      <c r="C41" s="5" t="s">
        <v>79</v>
      </c>
      <c r="D41" s="5" t="s">
        <v>24</v>
      </c>
      <c r="E41" s="5" t="s">
        <v>56</v>
      </c>
      <c r="F41" s="5" t="s">
        <v>57</v>
      </c>
      <c r="G41" s="5" t="n">
        <v>4</v>
      </c>
      <c r="H41" s="5" t="s">
        <v>99</v>
      </c>
      <c r="I41" s="7" t="n">
        <v>46037</v>
      </c>
      <c r="J41" s="5" t="s">
        <v>102</v>
      </c>
    </row>
    <row r="42" customFormat="false" ht="15" hidden="false" customHeight="false" outlineLevel="0" collapsed="false">
      <c r="A42" s="2" t="s">
        <v>128</v>
      </c>
      <c r="B42" s="2" t="s">
        <v>129</v>
      </c>
      <c r="C42" s="2" t="s">
        <v>79</v>
      </c>
      <c r="D42" s="2" t="s">
        <v>24</v>
      </c>
      <c r="E42" s="2" t="s">
        <v>34</v>
      </c>
      <c r="F42" s="2" t="s">
        <v>35</v>
      </c>
      <c r="G42" s="2" t="n">
        <v>4</v>
      </c>
      <c r="H42" s="2" t="s">
        <v>107</v>
      </c>
      <c r="I42" s="4" t="n">
        <v>46050</v>
      </c>
      <c r="J42" s="2" t="s">
        <v>100</v>
      </c>
    </row>
    <row r="43" customFormat="false" ht="15" hidden="false" customHeight="false" outlineLevel="0" collapsed="false">
      <c r="A43" s="5" t="s">
        <v>130</v>
      </c>
      <c r="B43" s="5" t="s">
        <v>131</v>
      </c>
      <c r="C43" s="5" t="s">
        <v>87</v>
      </c>
      <c r="D43" s="5" t="s">
        <v>17</v>
      </c>
      <c r="E43" s="5" t="s">
        <v>26</v>
      </c>
      <c r="F43" s="5" t="s">
        <v>27</v>
      </c>
      <c r="G43" s="5" t="n">
        <v>4</v>
      </c>
      <c r="H43" s="5" t="s">
        <v>101</v>
      </c>
      <c r="I43" s="7" t="n">
        <v>46114</v>
      </c>
      <c r="J43" s="5" t="s">
        <v>102</v>
      </c>
    </row>
    <row r="44" customFormat="false" ht="15" hidden="false" customHeight="false" outlineLevel="0" collapsed="false">
      <c r="A44" s="2" t="s">
        <v>130</v>
      </c>
      <c r="B44" s="2" t="s">
        <v>131</v>
      </c>
      <c r="C44" s="2" t="s">
        <v>87</v>
      </c>
      <c r="D44" s="2" t="s">
        <v>17</v>
      </c>
      <c r="E44" s="2" t="s">
        <v>29</v>
      </c>
      <c r="F44" s="2" t="s">
        <v>30</v>
      </c>
      <c r="G44" s="2" t="n">
        <v>4</v>
      </c>
      <c r="H44" s="2" t="s">
        <v>101</v>
      </c>
      <c r="I44" s="4" t="n">
        <v>46131</v>
      </c>
      <c r="J44" s="2" t="s">
        <v>102</v>
      </c>
    </row>
    <row r="45" customFormat="false" ht="15" hidden="false" customHeight="false" outlineLevel="0" collapsed="false">
      <c r="A45" s="5" t="s">
        <v>130</v>
      </c>
      <c r="B45" s="5" t="s">
        <v>131</v>
      </c>
      <c r="C45" s="5" t="s">
        <v>87</v>
      </c>
      <c r="D45" s="5" t="s">
        <v>17</v>
      </c>
      <c r="E45" s="5" t="s">
        <v>44</v>
      </c>
      <c r="F45" s="5" t="s">
        <v>45</v>
      </c>
      <c r="G45" s="5" t="n">
        <v>4</v>
      </c>
      <c r="H45" s="5" t="s">
        <v>101</v>
      </c>
      <c r="I45" s="7" t="n">
        <v>46136</v>
      </c>
      <c r="J45" s="5" t="s">
        <v>102</v>
      </c>
    </row>
    <row r="46" customFormat="false" ht="15" hidden="false" customHeight="false" outlineLevel="0" collapsed="false">
      <c r="A46" s="2" t="s">
        <v>130</v>
      </c>
      <c r="B46" s="2" t="s">
        <v>131</v>
      </c>
      <c r="C46" s="2" t="s">
        <v>87</v>
      </c>
      <c r="D46" s="2" t="s">
        <v>17</v>
      </c>
      <c r="E46" s="2" t="s">
        <v>21</v>
      </c>
      <c r="F46" s="2" t="s">
        <v>22</v>
      </c>
      <c r="G46" s="2" t="n">
        <v>4</v>
      </c>
      <c r="H46" s="2" t="s">
        <v>99</v>
      </c>
      <c r="I46" s="4" t="n">
        <v>46091</v>
      </c>
      <c r="J46" s="2" t="s">
        <v>102</v>
      </c>
    </row>
    <row r="47" customFormat="false" ht="15" hidden="false" customHeight="false" outlineLevel="0" collapsed="false">
      <c r="A47" s="5" t="s">
        <v>132</v>
      </c>
      <c r="B47" s="5" t="s">
        <v>133</v>
      </c>
      <c r="C47" s="5" t="s">
        <v>87</v>
      </c>
      <c r="D47" s="5" t="s">
        <v>24</v>
      </c>
      <c r="E47" s="5" t="s">
        <v>32</v>
      </c>
      <c r="F47" s="5" t="s">
        <v>33</v>
      </c>
      <c r="G47" s="5" t="n">
        <v>4</v>
      </c>
      <c r="H47" s="5" t="s">
        <v>101</v>
      </c>
      <c r="I47" s="7" t="n">
        <v>46032</v>
      </c>
      <c r="J47" s="5" t="s">
        <v>102</v>
      </c>
    </row>
    <row r="48" customFormat="false" ht="15" hidden="false" customHeight="false" outlineLevel="0" collapsed="false">
      <c r="A48" s="2" t="s">
        <v>132</v>
      </c>
      <c r="B48" s="2" t="s">
        <v>133</v>
      </c>
      <c r="C48" s="2" t="s">
        <v>87</v>
      </c>
      <c r="D48" s="2" t="s">
        <v>24</v>
      </c>
      <c r="E48" s="2" t="s">
        <v>13</v>
      </c>
      <c r="F48" s="2" t="s">
        <v>14</v>
      </c>
      <c r="G48" s="2" t="n">
        <v>4</v>
      </c>
      <c r="H48" s="2" t="s">
        <v>101</v>
      </c>
      <c r="I48" s="4" t="n">
        <v>46070</v>
      </c>
      <c r="J48" s="2" t="s">
        <v>102</v>
      </c>
    </row>
    <row r="49" customFormat="false" ht="15" hidden="false" customHeight="false" outlineLevel="0" collapsed="false">
      <c r="A49" s="5" t="s">
        <v>132</v>
      </c>
      <c r="B49" s="5" t="s">
        <v>133</v>
      </c>
      <c r="C49" s="5" t="s">
        <v>87</v>
      </c>
      <c r="D49" s="5" t="s">
        <v>24</v>
      </c>
      <c r="E49" s="5" t="s">
        <v>48</v>
      </c>
      <c r="F49" s="5" t="s">
        <v>49</v>
      </c>
      <c r="G49" s="5" t="n">
        <v>4</v>
      </c>
      <c r="H49" s="5" t="s">
        <v>101</v>
      </c>
      <c r="I49" s="7" t="n">
        <v>46116</v>
      </c>
      <c r="J49" s="5" t="s">
        <v>102</v>
      </c>
    </row>
    <row r="50" customFormat="false" ht="15" hidden="false" customHeight="false" outlineLevel="0" collapsed="false">
      <c r="A50" s="2" t="s">
        <v>134</v>
      </c>
      <c r="B50" s="2" t="s">
        <v>135</v>
      </c>
      <c r="C50" s="2" t="s">
        <v>90</v>
      </c>
      <c r="D50" s="2" t="s">
        <v>24</v>
      </c>
      <c r="E50" s="2" t="s">
        <v>48</v>
      </c>
      <c r="F50" s="2" t="s">
        <v>49</v>
      </c>
      <c r="G50" s="2" t="n">
        <v>4</v>
      </c>
      <c r="H50" s="2" t="s">
        <v>101</v>
      </c>
      <c r="I50" s="4" t="n">
        <v>46126</v>
      </c>
      <c r="J50" s="2" t="s">
        <v>102</v>
      </c>
    </row>
    <row r="51" customFormat="false" ht="15" hidden="false" customHeight="false" outlineLevel="0" collapsed="false">
      <c r="A51" s="5" t="s">
        <v>134</v>
      </c>
      <c r="B51" s="5" t="s">
        <v>135</v>
      </c>
      <c r="C51" s="5" t="s">
        <v>90</v>
      </c>
      <c r="D51" s="5" t="s">
        <v>24</v>
      </c>
      <c r="E51" s="5" t="s">
        <v>39</v>
      </c>
      <c r="F51" s="5" t="s">
        <v>40</v>
      </c>
      <c r="G51" s="5" t="n">
        <v>4</v>
      </c>
      <c r="H51" s="5" t="s">
        <v>101</v>
      </c>
      <c r="I51" s="7" t="n">
        <v>46033</v>
      </c>
      <c r="J51" s="5" t="s">
        <v>102</v>
      </c>
    </row>
    <row r="52" customFormat="false" ht="15" hidden="false" customHeight="false" outlineLevel="0" collapsed="false">
      <c r="A52" s="2" t="s">
        <v>134</v>
      </c>
      <c r="B52" s="2" t="s">
        <v>135</v>
      </c>
      <c r="C52" s="2" t="s">
        <v>90</v>
      </c>
      <c r="D52" s="2" t="s">
        <v>24</v>
      </c>
      <c r="E52" s="2" t="s">
        <v>65</v>
      </c>
      <c r="F52" s="2" t="s">
        <v>66</v>
      </c>
      <c r="G52" s="2" t="n">
        <v>4</v>
      </c>
      <c r="H52" s="2" t="s">
        <v>107</v>
      </c>
      <c r="I52" s="4" t="n">
        <v>46131</v>
      </c>
      <c r="J52" s="2" t="s">
        <v>102</v>
      </c>
    </row>
    <row r="53" customFormat="false" ht="15" hidden="false" customHeight="false" outlineLevel="0" collapsed="false">
      <c r="A53" s="5" t="s">
        <v>134</v>
      </c>
      <c r="B53" s="5" t="s">
        <v>135</v>
      </c>
      <c r="C53" s="5" t="s">
        <v>90</v>
      </c>
      <c r="D53" s="5" t="s">
        <v>24</v>
      </c>
      <c r="E53" s="5" t="s">
        <v>13</v>
      </c>
      <c r="F53" s="5" t="s">
        <v>14</v>
      </c>
      <c r="G53" s="5" t="n">
        <v>4</v>
      </c>
      <c r="H53" s="5" t="s">
        <v>101</v>
      </c>
      <c r="I53" s="7" t="n">
        <v>46056</v>
      </c>
      <c r="J53" s="5" t="s">
        <v>102</v>
      </c>
    </row>
    <row r="54" customFormat="false" ht="15" hidden="false" customHeight="false" outlineLevel="0" collapsed="false">
      <c r="A54" s="2" t="s">
        <v>136</v>
      </c>
      <c r="B54" s="2" t="s">
        <v>137</v>
      </c>
      <c r="C54" s="2" t="s">
        <v>87</v>
      </c>
      <c r="D54" s="2" t="s">
        <v>24</v>
      </c>
      <c r="E54" s="2" t="s">
        <v>36</v>
      </c>
      <c r="F54" s="2" t="s">
        <v>37</v>
      </c>
      <c r="G54" s="2" t="n">
        <v>4</v>
      </c>
      <c r="H54" s="2" t="s">
        <v>99</v>
      </c>
      <c r="I54" s="4" t="n">
        <v>46046</v>
      </c>
      <c r="J54" s="2" t="s">
        <v>102</v>
      </c>
    </row>
    <row r="55" customFormat="false" ht="15" hidden="false" customHeight="false" outlineLevel="0" collapsed="false">
      <c r="A55" s="5" t="s">
        <v>136</v>
      </c>
      <c r="B55" s="5" t="s">
        <v>137</v>
      </c>
      <c r="C55" s="5" t="s">
        <v>87</v>
      </c>
      <c r="D55" s="5" t="s">
        <v>24</v>
      </c>
      <c r="E55" s="5" t="s">
        <v>48</v>
      </c>
      <c r="F55" s="5" t="s">
        <v>49</v>
      </c>
      <c r="G55" s="5" t="n">
        <v>4</v>
      </c>
      <c r="H55" s="5" t="s">
        <v>101</v>
      </c>
      <c r="I55" s="7" t="n">
        <v>46107</v>
      </c>
      <c r="J55" s="5" t="s">
        <v>102</v>
      </c>
    </row>
    <row r="56" customFormat="false" ht="15" hidden="false" customHeight="false" outlineLevel="0" collapsed="false">
      <c r="A56" s="2" t="s">
        <v>136</v>
      </c>
      <c r="B56" s="2" t="s">
        <v>137</v>
      </c>
      <c r="C56" s="2" t="s">
        <v>87</v>
      </c>
      <c r="D56" s="2" t="s">
        <v>24</v>
      </c>
      <c r="E56" s="2" t="s">
        <v>69</v>
      </c>
      <c r="F56" s="2" t="s">
        <v>70</v>
      </c>
      <c r="G56" s="2" t="n">
        <v>4</v>
      </c>
      <c r="H56" s="2" t="s">
        <v>107</v>
      </c>
      <c r="I56" s="4" t="n">
        <v>46031</v>
      </c>
      <c r="J56" s="2" t="s">
        <v>100</v>
      </c>
    </row>
    <row r="57" customFormat="false" ht="15" hidden="false" customHeight="false" outlineLevel="0" collapsed="false">
      <c r="A57" s="5" t="s">
        <v>138</v>
      </c>
      <c r="B57" s="5" t="s">
        <v>139</v>
      </c>
      <c r="C57" s="5" t="s">
        <v>79</v>
      </c>
      <c r="D57" s="5" t="s">
        <v>17</v>
      </c>
      <c r="E57" s="5" t="s">
        <v>63</v>
      </c>
      <c r="F57" s="5" t="s">
        <v>64</v>
      </c>
      <c r="G57" s="5" t="n">
        <v>4</v>
      </c>
      <c r="H57" s="5" t="s">
        <v>101</v>
      </c>
      <c r="I57" s="7" t="n">
        <v>46093</v>
      </c>
      <c r="J57" s="5" t="s">
        <v>102</v>
      </c>
    </row>
    <row r="58" customFormat="false" ht="15" hidden="false" customHeight="false" outlineLevel="0" collapsed="false">
      <c r="A58" s="2" t="s">
        <v>138</v>
      </c>
      <c r="B58" s="2" t="s">
        <v>139</v>
      </c>
      <c r="C58" s="2" t="s">
        <v>79</v>
      </c>
      <c r="D58" s="2" t="s">
        <v>17</v>
      </c>
      <c r="E58" s="2" t="s">
        <v>60</v>
      </c>
      <c r="F58" s="2" t="s">
        <v>61</v>
      </c>
      <c r="G58" s="2" t="n">
        <v>4</v>
      </c>
      <c r="H58" s="2" t="s">
        <v>101</v>
      </c>
      <c r="I58" s="4" t="n">
        <v>46082</v>
      </c>
      <c r="J58" s="2" t="s">
        <v>102</v>
      </c>
    </row>
    <row r="59" customFormat="false" ht="15" hidden="false" customHeight="false" outlineLevel="0" collapsed="false">
      <c r="A59" s="5" t="s">
        <v>138</v>
      </c>
      <c r="B59" s="5" t="s">
        <v>139</v>
      </c>
      <c r="C59" s="5" t="s">
        <v>79</v>
      </c>
      <c r="D59" s="5" t="s">
        <v>17</v>
      </c>
      <c r="E59" s="5" t="s">
        <v>32</v>
      </c>
      <c r="F59" s="5" t="s">
        <v>33</v>
      </c>
      <c r="G59" s="5" t="n">
        <v>4</v>
      </c>
      <c r="H59" s="5" t="s">
        <v>107</v>
      </c>
      <c r="I59" s="7" t="n">
        <v>46060</v>
      </c>
      <c r="J59" s="5" t="s">
        <v>100</v>
      </c>
    </row>
    <row r="60" customFormat="false" ht="15" hidden="false" customHeight="false" outlineLevel="0" collapsed="false">
      <c r="A60" s="2" t="s">
        <v>140</v>
      </c>
      <c r="B60" s="2" t="s">
        <v>141</v>
      </c>
      <c r="C60" s="2" t="s">
        <v>87</v>
      </c>
      <c r="D60" s="2" t="s">
        <v>24</v>
      </c>
      <c r="E60" s="2" t="s">
        <v>58</v>
      </c>
      <c r="F60" s="2" t="s">
        <v>59</v>
      </c>
      <c r="G60" s="2" t="n">
        <v>4</v>
      </c>
      <c r="H60" s="2" t="s">
        <v>101</v>
      </c>
      <c r="I60" s="4" t="n">
        <v>46119</v>
      </c>
      <c r="J60" s="2" t="s">
        <v>102</v>
      </c>
    </row>
    <row r="61" customFormat="false" ht="15" hidden="false" customHeight="false" outlineLevel="0" collapsed="false">
      <c r="A61" s="5" t="s">
        <v>140</v>
      </c>
      <c r="B61" s="5" t="s">
        <v>141</v>
      </c>
      <c r="C61" s="5" t="s">
        <v>87</v>
      </c>
      <c r="D61" s="5" t="s">
        <v>24</v>
      </c>
      <c r="E61" s="5" t="s">
        <v>44</v>
      </c>
      <c r="F61" s="5" t="s">
        <v>45</v>
      </c>
      <c r="G61" s="5" t="n">
        <v>4</v>
      </c>
      <c r="H61" s="5" t="s">
        <v>101</v>
      </c>
      <c r="I61" s="7" t="n">
        <v>46049</v>
      </c>
      <c r="J61" s="5" t="s">
        <v>102</v>
      </c>
    </row>
    <row r="62" customFormat="false" ht="15" hidden="false" customHeight="false" outlineLevel="0" collapsed="false">
      <c r="A62" s="2" t="s">
        <v>140</v>
      </c>
      <c r="B62" s="2" t="s">
        <v>141</v>
      </c>
      <c r="C62" s="2" t="s">
        <v>87</v>
      </c>
      <c r="D62" s="2" t="s">
        <v>24</v>
      </c>
      <c r="E62" s="2" t="s">
        <v>21</v>
      </c>
      <c r="F62" s="2" t="s">
        <v>22</v>
      </c>
      <c r="G62" s="2" t="n">
        <v>4</v>
      </c>
      <c r="H62" s="2" t="s">
        <v>99</v>
      </c>
      <c r="I62" s="4" t="n">
        <v>46140</v>
      </c>
      <c r="J62" s="2" t="s">
        <v>102</v>
      </c>
    </row>
    <row r="63" customFormat="false" ht="15" hidden="false" customHeight="false" outlineLevel="0" collapsed="false">
      <c r="A63" s="5" t="s">
        <v>142</v>
      </c>
      <c r="B63" s="5" t="s">
        <v>143</v>
      </c>
      <c r="C63" s="5" t="s">
        <v>90</v>
      </c>
      <c r="D63" s="5" t="s">
        <v>24</v>
      </c>
      <c r="E63" s="5" t="s">
        <v>63</v>
      </c>
      <c r="F63" s="5" t="s">
        <v>64</v>
      </c>
      <c r="G63" s="5" t="n">
        <v>4</v>
      </c>
      <c r="H63" s="5" t="s">
        <v>99</v>
      </c>
      <c r="I63" s="7" t="n">
        <v>46074</v>
      </c>
      <c r="J63" s="5" t="s">
        <v>102</v>
      </c>
    </row>
    <row r="64" customFormat="false" ht="15" hidden="false" customHeight="false" outlineLevel="0" collapsed="false">
      <c r="A64" s="2" t="s">
        <v>142</v>
      </c>
      <c r="B64" s="2" t="s">
        <v>143</v>
      </c>
      <c r="C64" s="2" t="s">
        <v>90</v>
      </c>
      <c r="D64" s="2" t="s">
        <v>24</v>
      </c>
      <c r="E64" s="2" t="s">
        <v>69</v>
      </c>
      <c r="F64" s="2" t="s">
        <v>70</v>
      </c>
      <c r="G64" s="2" t="n">
        <v>4</v>
      </c>
      <c r="H64" s="2" t="s">
        <v>101</v>
      </c>
      <c r="I64" s="4" t="n">
        <v>46133</v>
      </c>
      <c r="J64" s="2" t="s">
        <v>102</v>
      </c>
    </row>
    <row r="65" customFormat="false" ht="15" hidden="false" customHeight="false" outlineLevel="0" collapsed="false">
      <c r="A65" s="5" t="s">
        <v>144</v>
      </c>
      <c r="B65" s="5" t="s">
        <v>145</v>
      </c>
      <c r="C65" s="5" t="s">
        <v>79</v>
      </c>
      <c r="D65" s="5" t="s">
        <v>24</v>
      </c>
      <c r="E65" s="5" t="s">
        <v>56</v>
      </c>
      <c r="F65" s="5" t="s">
        <v>57</v>
      </c>
      <c r="G65" s="5" t="n">
        <v>4</v>
      </c>
      <c r="H65" s="5" t="s">
        <v>99</v>
      </c>
      <c r="I65" s="7" t="n">
        <v>46077</v>
      </c>
      <c r="J65" s="5" t="s">
        <v>102</v>
      </c>
    </row>
    <row r="66" customFormat="false" ht="15" hidden="false" customHeight="false" outlineLevel="0" collapsed="false">
      <c r="A66" s="2" t="s">
        <v>144</v>
      </c>
      <c r="B66" s="2" t="s">
        <v>145</v>
      </c>
      <c r="C66" s="2" t="s">
        <v>79</v>
      </c>
      <c r="D66" s="2" t="s">
        <v>24</v>
      </c>
      <c r="E66" s="2" t="s">
        <v>53</v>
      </c>
      <c r="F66" s="2" t="s">
        <v>54</v>
      </c>
      <c r="G66" s="2" t="n">
        <v>4</v>
      </c>
      <c r="H66" s="2" t="s">
        <v>107</v>
      </c>
      <c r="I66" s="4" t="n">
        <v>46045</v>
      </c>
      <c r="J66" s="2" t="s">
        <v>107</v>
      </c>
    </row>
    <row r="67" customFormat="false" ht="15" hidden="false" customHeight="false" outlineLevel="0" collapsed="false">
      <c r="A67" s="5" t="s">
        <v>144</v>
      </c>
      <c r="B67" s="5" t="s">
        <v>145</v>
      </c>
      <c r="C67" s="5" t="s">
        <v>79</v>
      </c>
      <c r="D67" s="5" t="s">
        <v>24</v>
      </c>
      <c r="E67" s="5" t="s">
        <v>67</v>
      </c>
      <c r="F67" s="5" t="s">
        <v>68</v>
      </c>
      <c r="G67" s="5" t="n">
        <v>4</v>
      </c>
      <c r="H67" s="5" t="s">
        <v>101</v>
      </c>
      <c r="I67" s="7" t="n">
        <v>46039</v>
      </c>
      <c r="J67" s="5" t="s">
        <v>102</v>
      </c>
    </row>
    <row r="68" customFormat="false" ht="15" hidden="false" customHeight="false" outlineLevel="0" collapsed="false">
      <c r="A68" s="2" t="s">
        <v>144</v>
      </c>
      <c r="B68" s="2" t="s">
        <v>145</v>
      </c>
      <c r="C68" s="2" t="s">
        <v>79</v>
      </c>
      <c r="D68" s="2" t="s">
        <v>24</v>
      </c>
      <c r="E68" s="2" t="s">
        <v>39</v>
      </c>
      <c r="F68" s="2" t="s">
        <v>40</v>
      </c>
      <c r="G68" s="2" t="n">
        <v>4</v>
      </c>
      <c r="H68" s="2" t="s">
        <v>101</v>
      </c>
      <c r="I68" s="4" t="n">
        <v>46137</v>
      </c>
      <c r="J68" s="2" t="s">
        <v>102</v>
      </c>
    </row>
    <row r="69" customFormat="false" ht="15" hidden="false" customHeight="false" outlineLevel="0" collapsed="false">
      <c r="A69" s="5" t="s">
        <v>146</v>
      </c>
      <c r="B69" s="5" t="s">
        <v>147</v>
      </c>
      <c r="C69" s="5" t="s">
        <v>79</v>
      </c>
      <c r="D69" s="5" t="s">
        <v>17</v>
      </c>
      <c r="E69" s="5" t="s">
        <v>51</v>
      </c>
      <c r="F69" s="5" t="s">
        <v>52</v>
      </c>
      <c r="G69" s="5" t="n">
        <v>4</v>
      </c>
      <c r="H69" s="5" t="s">
        <v>107</v>
      </c>
      <c r="I69" s="7" t="n">
        <v>46094</v>
      </c>
      <c r="J69" s="5" t="s">
        <v>107</v>
      </c>
    </row>
    <row r="70" customFormat="false" ht="15" hidden="false" customHeight="false" outlineLevel="0" collapsed="false">
      <c r="A70" s="2" t="s">
        <v>146</v>
      </c>
      <c r="B70" s="2" t="s">
        <v>147</v>
      </c>
      <c r="C70" s="2" t="s">
        <v>79</v>
      </c>
      <c r="D70" s="2" t="s">
        <v>17</v>
      </c>
      <c r="E70" s="2" t="s">
        <v>46</v>
      </c>
      <c r="F70" s="2" t="s">
        <v>47</v>
      </c>
      <c r="G70" s="2" t="n">
        <v>4</v>
      </c>
      <c r="H70" s="2" t="s">
        <v>99</v>
      </c>
      <c r="I70" s="4" t="n">
        <v>46114</v>
      </c>
      <c r="J70" s="2" t="s">
        <v>107</v>
      </c>
    </row>
    <row r="71" customFormat="false" ht="15" hidden="false" customHeight="false" outlineLevel="0" collapsed="false">
      <c r="A71" s="5" t="s">
        <v>148</v>
      </c>
      <c r="B71" s="5" t="s">
        <v>149</v>
      </c>
      <c r="C71" s="5" t="s">
        <v>87</v>
      </c>
      <c r="D71" s="5" t="s">
        <v>17</v>
      </c>
      <c r="E71" s="5" t="s">
        <v>32</v>
      </c>
      <c r="F71" s="5" t="s">
        <v>33</v>
      </c>
      <c r="G71" s="5" t="n">
        <v>4</v>
      </c>
      <c r="H71" s="5" t="s">
        <v>101</v>
      </c>
      <c r="I71" s="7" t="n">
        <v>46133</v>
      </c>
      <c r="J71" s="5" t="s">
        <v>102</v>
      </c>
    </row>
    <row r="72" customFormat="false" ht="15" hidden="false" customHeight="false" outlineLevel="0" collapsed="false">
      <c r="A72" s="2" t="s">
        <v>148</v>
      </c>
      <c r="B72" s="2" t="s">
        <v>149</v>
      </c>
      <c r="C72" s="2" t="s">
        <v>87</v>
      </c>
      <c r="D72" s="2" t="s">
        <v>17</v>
      </c>
      <c r="E72" s="2" t="s">
        <v>41</v>
      </c>
      <c r="F72" s="2" t="s">
        <v>42</v>
      </c>
      <c r="G72" s="2" t="n">
        <v>4</v>
      </c>
      <c r="H72" s="2" t="s">
        <v>101</v>
      </c>
      <c r="I72" s="4" t="n">
        <v>46099</v>
      </c>
      <c r="J72" s="2" t="s">
        <v>102</v>
      </c>
    </row>
    <row r="73" customFormat="false" ht="15" hidden="false" customHeight="false" outlineLevel="0" collapsed="false">
      <c r="A73" s="5" t="s">
        <v>148</v>
      </c>
      <c r="B73" s="5" t="s">
        <v>149</v>
      </c>
      <c r="C73" s="5" t="s">
        <v>87</v>
      </c>
      <c r="D73" s="5" t="s">
        <v>17</v>
      </c>
      <c r="E73" s="5" t="s">
        <v>29</v>
      </c>
      <c r="F73" s="5" t="s">
        <v>30</v>
      </c>
      <c r="G73" s="5" t="n">
        <v>4</v>
      </c>
      <c r="H73" s="5" t="s">
        <v>101</v>
      </c>
      <c r="I73" s="7" t="n">
        <v>46060</v>
      </c>
      <c r="J73" s="5" t="s">
        <v>102</v>
      </c>
    </row>
    <row r="74" customFormat="false" ht="15" hidden="false" customHeight="false" outlineLevel="0" collapsed="false">
      <c r="A74" s="2" t="s">
        <v>150</v>
      </c>
      <c r="B74" s="2" t="s">
        <v>151</v>
      </c>
      <c r="C74" s="2" t="s">
        <v>87</v>
      </c>
      <c r="D74" s="2" t="s">
        <v>24</v>
      </c>
      <c r="E74" s="2" t="s">
        <v>48</v>
      </c>
      <c r="F74" s="2" t="s">
        <v>49</v>
      </c>
      <c r="G74" s="2" t="n">
        <v>4</v>
      </c>
      <c r="H74" s="2" t="s">
        <v>101</v>
      </c>
      <c r="I74" s="4" t="n">
        <v>46107</v>
      </c>
      <c r="J74" s="2" t="s">
        <v>102</v>
      </c>
    </row>
    <row r="75" customFormat="false" ht="15" hidden="false" customHeight="false" outlineLevel="0" collapsed="false">
      <c r="A75" s="5" t="s">
        <v>150</v>
      </c>
      <c r="B75" s="5" t="s">
        <v>151</v>
      </c>
      <c r="C75" s="5" t="s">
        <v>87</v>
      </c>
      <c r="D75" s="5" t="s">
        <v>24</v>
      </c>
      <c r="E75" s="5" t="s">
        <v>69</v>
      </c>
      <c r="F75" s="5" t="s">
        <v>70</v>
      </c>
      <c r="G75" s="5" t="n">
        <v>4</v>
      </c>
      <c r="H75" s="5" t="s">
        <v>101</v>
      </c>
      <c r="I75" s="7" t="n">
        <v>46098</v>
      </c>
      <c r="J75" s="5" t="s">
        <v>102</v>
      </c>
    </row>
    <row r="76" customFormat="false" ht="15" hidden="false" customHeight="false" outlineLevel="0" collapsed="false">
      <c r="A76" s="2" t="s">
        <v>152</v>
      </c>
      <c r="B76" s="2" t="s">
        <v>153</v>
      </c>
      <c r="C76" s="2" t="s">
        <v>90</v>
      </c>
      <c r="D76" s="2" t="s">
        <v>24</v>
      </c>
      <c r="E76" s="2" t="s">
        <v>67</v>
      </c>
      <c r="F76" s="2" t="s">
        <v>68</v>
      </c>
      <c r="G76" s="2" t="n">
        <v>4</v>
      </c>
      <c r="H76" s="2" t="s">
        <v>101</v>
      </c>
      <c r="I76" s="4" t="n">
        <v>46031</v>
      </c>
      <c r="J76" s="2" t="s">
        <v>102</v>
      </c>
    </row>
    <row r="77" customFormat="false" ht="15" hidden="false" customHeight="false" outlineLevel="0" collapsed="false">
      <c r="A77" s="5" t="s">
        <v>152</v>
      </c>
      <c r="B77" s="5" t="s">
        <v>153</v>
      </c>
      <c r="C77" s="5" t="s">
        <v>90</v>
      </c>
      <c r="D77" s="5" t="s">
        <v>24</v>
      </c>
      <c r="E77" s="5" t="s">
        <v>65</v>
      </c>
      <c r="F77" s="5" t="s">
        <v>66</v>
      </c>
      <c r="G77" s="5" t="n">
        <v>4</v>
      </c>
      <c r="H77" s="5" t="s">
        <v>107</v>
      </c>
      <c r="I77" s="7" t="n">
        <v>46035</v>
      </c>
      <c r="J77" s="5" t="s">
        <v>100</v>
      </c>
    </row>
    <row r="78" customFormat="false" ht="15" hidden="false" customHeight="false" outlineLevel="0" collapsed="false">
      <c r="A78" s="2" t="s">
        <v>152</v>
      </c>
      <c r="B78" s="2" t="s">
        <v>153</v>
      </c>
      <c r="C78" s="2" t="s">
        <v>90</v>
      </c>
      <c r="D78" s="2" t="s">
        <v>24</v>
      </c>
      <c r="E78" s="2" t="s">
        <v>26</v>
      </c>
      <c r="F78" s="2" t="s">
        <v>27</v>
      </c>
      <c r="G78" s="2" t="n">
        <v>4</v>
      </c>
      <c r="H78" s="2" t="s">
        <v>99</v>
      </c>
      <c r="I78" s="4" t="n">
        <v>46030</v>
      </c>
      <c r="J78" s="2" t="s">
        <v>100</v>
      </c>
    </row>
    <row r="79" customFormat="false" ht="15" hidden="false" customHeight="false" outlineLevel="0" collapsed="false">
      <c r="A79" s="5" t="s">
        <v>152</v>
      </c>
      <c r="B79" s="5" t="s">
        <v>153</v>
      </c>
      <c r="C79" s="5" t="s">
        <v>90</v>
      </c>
      <c r="D79" s="5" t="s">
        <v>24</v>
      </c>
      <c r="E79" s="5" t="s">
        <v>46</v>
      </c>
      <c r="F79" s="5" t="s">
        <v>47</v>
      </c>
      <c r="G79" s="5" t="n">
        <v>4</v>
      </c>
      <c r="H79" s="5" t="s">
        <v>101</v>
      </c>
      <c r="I79" s="7" t="n">
        <v>46139</v>
      </c>
      <c r="J79" s="5" t="s">
        <v>102</v>
      </c>
    </row>
    <row r="80" customFormat="false" ht="15" hidden="false" customHeight="false" outlineLevel="0" collapsed="false">
      <c r="A80" s="2" t="s">
        <v>154</v>
      </c>
      <c r="B80" s="2" t="s">
        <v>155</v>
      </c>
      <c r="C80" s="2" t="s">
        <v>87</v>
      </c>
      <c r="D80" s="2" t="s">
        <v>17</v>
      </c>
      <c r="E80" s="2" t="s">
        <v>69</v>
      </c>
      <c r="F80" s="2" t="s">
        <v>70</v>
      </c>
      <c r="G80" s="2" t="n">
        <v>4</v>
      </c>
      <c r="H80" s="2" t="s">
        <v>101</v>
      </c>
      <c r="I80" s="4" t="n">
        <v>46128</v>
      </c>
      <c r="J80" s="2" t="s">
        <v>102</v>
      </c>
    </row>
    <row r="81" customFormat="false" ht="15" hidden="false" customHeight="false" outlineLevel="0" collapsed="false">
      <c r="A81" s="5" t="s">
        <v>154</v>
      </c>
      <c r="B81" s="5" t="s">
        <v>155</v>
      </c>
      <c r="C81" s="5" t="s">
        <v>87</v>
      </c>
      <c r="D81" s="5" t="s">
        <v>17</v>
      </c>
      <c r="E81" s="5" t="s">
        <v>63</v>
      </c>
      <c r="F81" s="5" t="s">
        <v>64</v>
      </c>
      <c r="G81" s="5" t="n">
        <v>4</v>
      </c>
      <c r="H81" s="5" t="s">
        <v>107</v>
      </c>
      <c r="I81" s="7" t="n">
        <v>46043</v>
      </c>
      <c r="J81" s="5" t="s">
        <v>100</v>
      </c>
    </row>
    <row r="82" customFormat="false" ht="15" hidden="false" customHeight="false" outlineLevel="0" collapsed="false">
      <c r="A82" s="2" t="s">
        <v>154</v>
      </c>
      <c r="B82" s="2" t="s">
        <v>155</v>
      </c>
      <c r="C82" s="2" t="s">
        <v>87</v>
      </c>
      <c r="D82" s="2" t="s">
        <v>17</v>
      </c>
      <c r="E82" s="2" t="s">
        <v>41</v>
      </c>
      <c r="F82" s="2" t="s">
        <v>42</v>
      </c>
      <c r="G82" s="2" t="n">
        <v>4</v>
      </c>
      <c r="H82" s="2" t="s">
        <v>101</v>
      </c>
      <c r="I82" s="4" t="n">
        <v>46139</v>
      </c>
      <c r="J82" s="2" t="s">
        <v>102</v>
      </c>
    </row>
    <row r="83" customFormat="false" ht="15" hidden="false" customHeight="false" outlineLevel="0" collapsed="false">
      <c r="A83" s="5" t="s">
        <v>154</v>
      </c>
      <c r="B83" s="5" t="s">
        <v>155</v>
      </c>
      <c r="C83" s="5" t="s">
        <v>87</v>
      </c>
      <c r="D83" s="5" t="s">
        <v>17</v>
      </c>
      <c r="E83" s="5" t="s">
        <v>36</v>
      </c>
      <c r="F83" s="5" t="s">
        <v>37</v>
      </c>
      <c r="G83" s="5" t="n">
        <v>4</v>
      </c>
      <c r="H83" s="5" t="s">
        <v>101</v>
      </c>
      <c r="I83" s="7" t="n">
        <v>46123</v>
      </c>
      <c r="J83" s="5" t="s">
        <v>102</v>
      </c>
    </row>
    <row r="84" customFormat="false" ht="15" hidden="false" customHeight="false" outlineLevel="0" collapsed="false">
      <c r="A84" s="2" t="s">
        <v>156</v>
      </c>
      <c r="B84" s="2" t="s">
        <v>129</v>
      </c>
      <c r="C84" s="2" t="s">
        <v>87</v>
      </c>
      <c r="D84" s="2" t="s">
        <v>17</v>
      </c>
      <c r="E84" s="2" t="s">
        <v>56</v>
      </c>
      <c r="F84" s="2" t="s">
        <v>57</v>
      </c>
      <c r="G84" s="2" t="n">
        <v>4</v>
      </c>
      <c r="H84" s="2" t="s">
        <v>101</v>
      </c>
      <c r="I84" s="4" t="n">
        <v>46026</v>
      </c>
      <c r="J84" s="2" t="s">
        <v>102</v>
      </c>
    </row>
    <row r="85" customFormat="false" ht="15" hidden="false" customHeight="false" outlineLevel="0" collapsed="false">
      <c r="A85" s="5" t="s">
        <v>156</v>
      </c>
      <c r="B85" s="5" t="s">
        <v>129</v>
      </c>
      <c r="C85" s="5" t="s">
        <v>87</v>
      </c>
      <c r="D85" s="5" t="s">
        <v>17</v>
      </c>
      <c r="E85" s="5" t="s">
        <v>21</v>
      </c>
      <c r="F85" s="5" t="s">
        <v>22</v>
      </c>
      <c r="G85" s="5" t="n">
        <v>4</v>
      </c>
      <c r="H85" s="5" t="s">
        <v>99</v>
      </c>
      <c r="I85" s="7" t="n">
        <v>46033</v>
      </c>
      <c r="J85" s="5" t="s">
        <v>107</v>
      </c>
    </row>
    <row r="86" customFormat="false" ht="15" hidden="false" customHeight="false" outlineLevel="0" collapsed="false">
      <c r="A86" s="2" t="s">
        <v>156</v>
      </c>
      <c r="B86" s="2" t="s">
        <v>129</v>
      </c>
      <c r="C86" s="2" t="s">
        <v>87</v>
      </c>
      <c r="D86" s="2" t="s">
        <v>17</v>
      </c>
      <c r="E86" s="2" t="s">
        <v>26</v>
      </c>
      <c r="F86" s="2" t="s">
        <v>27</v>
      </c>
      <c r="G86" s="2" t="n">
        <v>4</v>
      </c>
      <c r="H86" s="2" t="s">
        <v>101</v>
      </c>
      <c r="I86" s="4" t="n">
        <v>46080</v>
      </c>
      <c r="J86" s="2" t="s">
        <v>102</v>
      </c>
    </row>
    <row r="87" customFormat="false" ht="15" hidden="false" customHeight="false" outlineLevel="0" collapsed="false">
      <c r="A87" s="5" t="s">
        <v>157</v>
      </c>
      <c r="B87" s="5" t="s">
        <v>158</v>
      </c>
      <c r="C87" s="5" t="s">
        <v>79</v>
      </c>
      <c r="D87" s="5" t="s">
        <v>24</v>
      </c>
      <c r="E87" s="5" t="s">
        <v>65</v>
      </c>
      <c r="F87" s="5" t="s">
        <v>66</v>
      </c>
      <c r="G87" s="5" t="n">
        <v>4</v>
      </c>
      <c r="H87" s="5" t="s">
        <v>101</v>
      </c>
      <c r="I87" s="7" t="n">
        <v>46086</v>
      </c>
      <c r="J87" s="5" t="s">
        <v>102</v>
      </c>
    </row>
    <row r="88" customFormat="false" ht="15" hidden="false" customHeight="false" outlineLevel="0" collapsed="false">
      <c r="A88" s="2" t="s">
        <v>157</v>
      </c>
      <c r="B88" s="2" t="s">
        <v>158</v>
      </c>
      <c r="C88" s="2" t="s">
        <v>79</v>
      </c>
      <c r="D88" s="2" t="s">
        <v>24</v>
      </c>
      <c r="E88" s="2" t="s">
        <v>41</v>
      </c>
      <c r="F88" s="2" t="s">
        <v>42</v>
      </c>
      <c r="G88" s="2" t="n">
        <v>4</v>
      </c>
      <c r="H88" s="2" t="s">
        <v>101</v>
      </c>
      <c r="I88" s="4" t="n">
        <v>46047</v>
      </c>
      <c r="J88" s="2" t="s">
        <v>102</v>
      </c>
    </row>
    <row r="89" customFormat="false" ht="15" hidden="false" customHeight="false" outlineLevel="0" collapsed="false">
      <c r="A89" s="5" t="s">
        <v>157</v>
      </c>
      <c r="B89" s="5" t="s">
        <v>158</v>
      </c>
      <c r="C89" s="5" t="s">
        <v>79</v>
      </c>
      <c r="D89" s="5" t="s">
        <v>24</v>
      </c>
      <c r="E89" s="5" t="s">
        <v>21</v>
      </c>
      <c r="F89" s="5" t="s">
        <v>22</v>
      </c>
      <c r="G89" s="5" t="n">
        <v>4</v>
      </c>
      <c r="H89" s="5" t="s">
        <v>101</v>
      </c>
      <c r="I89" s="7" t="n">
        <v>46120</v>
      </c>
      <c r="J89" s="5" t="s">
        <v>102</v>
      </c>
    </row>
    <row r="90" customFormat="false" ht="15" hidden="false" customHeight="false" outlineLevel="0" collapsed="false">
      <c r="A90" s="2" t="s">
        <v>159</v>
      </c>
      <c r="B90" s="2" t="s">
        <v>160</v>
      </c>
      <c r="C90" s="2" t="s">
        <v>79</v>
      </c>
      <c r="D90" s="2" t="s">
        <v>24</v>
      </c>
      <c r="E90" s="2" t="s">
        <v>60</v>
      </c>
      <c r="F90" s="2" t="s">
        <v>61</v>
      </c>
      <c r="G90" s="2" t="n">
        <v>4</v>
      </c>
      <c r="H90" s="2" t="s">
        <v>101</v>
      </c>
      <c r="I90" s="4" t="n">
        <v>46054</v>
      </c>
      <c r="J90" s="2" t="s">
        <v>102</v>
      </c>
    </row>
    <row r="91" customFormat="false" ht="15" hidden="false" customHeight="false" outlineLevel="0" collapsed="false">
      <c r="A91" s="5" t="s">
        <v>159</v>
      </c>
      <c r="B91" s="5" t="s">
        <v>160</v>
      </c>
      <c r="C91" s="5" t="s">
        <v>79</v>
      </c>
      <c r="D91" s="5" t="s">
        <v>24</v>
      </c>
      <c r="E91" s="5" t="s">
        <v>67</v>
      </c>
      <c r="F91" s="5" t="s">
        <v>68</v>
      </c>
      <c r="G91" s="5" t="n">
        <v>4</v>
      </c>
      <c r="H91" s="5" t="s">
        <v>101</v>
      </c>
      <c r="I91" s="7" t="n">
        <v>46086</v>
      </c>
      <c r="J91" s="5" t="s">
        <v>102</v>
      </c>
    </row>
    <row r="92" customFormat="false" ht="15" hidden="false" customHeight="false" outlineLevel="0" collapsed="false">
      <c r="A92" s="2" t="s">
        <v>159</v>
      </c>
      <c r="B92" s="2" t="s">
        <v>160</v>
      </c>
      <c r="C92" s="2" t="s">
        <v>79</v>
      </c>
      <c r="D92" s="2" t="s">
        <v>24</v>
      </c>
      <c r="E92" s="2" t="s">
        <v>65</v>
      </c>
      <c r="F92" s="2" t="s">
        <v>66</v>
      </c>
      <c r="G92" s="2" t="n">
        <v>4</v>
      </c>
      <c r="H92" s="2" t="s">
        <v>99</v>
      </c>
      <c r="I92" s="4" t="n">
        <v>46076</v>
      </c>
      <c r="J92" s="2" t="s">
        <v>102</v>
      </c>
    </row>
    <row r="93" customFormat="false" ht="15" hidden="false" customHeight="false" outlineLevel="0" collapsed="false">
      <c r="A93" s="5" t="s">
        <v>161</v>
      </c>
      <c r="B93" s="5" t="s">
        <v>162</v>
      </c>
      <c r="C93" s="5" t="s">
        <v>87</v>
      </c>
      <c r="D93" s="5" t="s">
        <v>17</v>
      </c>
      <c r="E93" s="5" t="s">
        <v>46</v>
      </c>
      <c r="F93" s="5" t="s">
        <v>47</v>
      </c>
      <c r="G93" s="5" t="n">
        <v>4</v>
      </c>
      <c r="H93" s="5" t="s">
        <v>99</v>
      </c>
      <c r="I93" s="7" t="n">
        <v>46038</v>
      </c>
      <c r="J93" s="5" t="s">
        <v>100</v>
      </c>
    </row>
    <row r="94" customFormat="false" ht="15" hidden="false" customHeight="false" outlineLevel="0" collapsed="false">
      <c r="A94" s="2" t="s">
        <v>161</v>
      </c>
      <c r="B94" s="2" t="s">
        <v>162</v>
      </c>
      <c r="C94" s="2" t="s">
        <v>87</v>
      </c>
      <c r="D94" s="2" t="s">
        <v>17</v>
      </c>
      <c r="E94" s="2" t="s">
        <v>60</v>
      </c>
      <c r="F94" s="2" t="s">
        <v>61</v>
      </c>
      <c r="G94" s="2" t="n">
        <v>4</v>
      </c>
      <c r="H94" s="2" t="s">
        <v>99</v>
      </c>
      <c r="I94" s="4" t="n">
        <v>46130</v>
      </c>
      <c r="J94" s="2" t="s">
        <v>100</v>
      </c>
    </row>
    <row r="95" customFormat="false" ht="15" hidden="false" customHeight="false" outlineLevel="0" collapsed="false">
      <c r="A95" s="5" t="s">
        <v>161</v>
      </c>
      <c r="B95" s="5" t="s">
        <v>162</v>
      </c>
      <c r="C95" s="5" t="s">
        <v>87</v>
      </c>
      <c r="D95" s="5" t="s">
        <v>17</v>
      </c>
      <c r="E95" s="5" t="s">
        <v>13</v>
      </c>
      <c r="F95" s="5" t="s">
        <v>14</v>
      </c>
      <c r="G95" s="5" t="n">
        <v>4</v>
      </c>
      <c r="H95" s="5" t="s">
        <v>99</v>
      </c>
      <c r="I95" s="7" t="n">
        <v>46042</v>
      </c>
      <c r="J95" s="5" t="s">
        <v>107</v>
      </c>
    </row>
    <row r="96" customFormat="false" ht="15" hidden="false" customHeight="false" outlineLevel="0" collapsed="false">
      <c r="A96" s="2" t="s">
        <v>161</v>
      </c>
      <c r="B96" s="2" t="s">
        <v>162</v>
      </c>
      <c r="C96" s="2" t="s">
        <v>87</v>
      </c>
      <c r="D96" s="2" t="s">
        <v>17</v>
      </c>
      <c r="E96" s="2" t="s">
        <v>41</v>
      </c>
      <c r="F96" s="2" t="s">
        <v>42</v>
      </c>
      <c r="G96" s="2" t="n">
        <v>4</v>
      </c>
      <c r="H96" s="2" t="s">
        <v>101</v>
      </c>
      <c r="I96" s="4" t="n">
        <v>46059</v>
      </c>
      <c r="J96" s="2" t="s">
        <v>102</v>
      </c>
    </row>
    <row r="97" customFormat="false" ht="15" hidden="false" customHeight="false" outlineLevel="0" collapsed="false">
      <c r="A97" s="5" t="s">
        <v>163</v>
      </c>
      <c r="B97" s="5" t="s">
        <v>164</v>
      </c>
      <c r="C97" s="5" t="s">
        <v>79</v>
      </c>
      <c r="D97" s="5" t="s">
        <v>17</v>
      </c>
      <c r="E97" s="5" t="s">
        <v>48</v>
      </c>
      <c r="F97" s="5" t="s">
        <v>49</v>
      </c>
      <c r="G97" s="5" t="n">
        <v>4</v>
      </c>
      <c r="H97" s="5" t="s">
        <v>101</v>
      </c>
      <c r="I97" s="7" t="n">
        <v>46113</v>
      </c>
      <c r="J97" s="5" t="s">
        <v>102</v>
      </c>
    </row>
    <row r="98" customFormat="false" ht="15" hidden="false" customHeight="false" outlineLevel="0" collapsed="false">
      <c r="A98" s="2" t="s">
        <v>163</v>
      </c>
      <c r="B98" s="2" t="s">
        <v>164</v>
      </c>
      <c r="C98" s="2" t="s">
        <v>79</v>
      </c>
      <c r="D98" s="2" t="s">
        <v>17</v>
      </c>
      <c r="E98" s="2" t="s">
        <v>53</v>
      </c>
      <c r="F98" s="2" t="s">
        <v>54</v>
      </c>
      <c r="G98" s="2" t="n">
        <v>4</v>
      </c>
      <c r="H98" s="2" t="s">
        <v>101</v>
      </c>
      <c r="I98" s="4" t="n">
        <v>46094</v>
      </c>
      <c r="J98" s="2" t="s">
        <v>102</v>
      </c>
    </row>
    <row r="99" customFormat="false" ht="15" hidden="false" customHeight="false" outlineLevel="0" collapsed="false">
      <c r="A99" s="5" t="s">
        <v>163</v>
      </c>
      <c r="B99" s="5" t="s">
        <v>164</v>
      </c>
      <c r="C99" s="5" t="s">
        <v>79</v>
      </c>
      <c r="D99" s="5" t="s">
        <v>17</v>
      </c>
      <c r="E99" s="5" t="s">
        <v>46</v>
      </c>
      <c r="F99" s="5" t="s">
        <v>47</v>
      </c>
      <c r="G99" s="5" t="n">
        <v>4</v>
      </c>
      <c r="H99" s="5" t="s">
        <v>101</v>
      </c>
      <c r="I99" s="7" t="n">
        <v>46103</v>
      </c>
      <c r="J99" s="5" t="s">
        <v>102</v>
      </c>
    </row>
    <row r="100" customFormat="false" ht="15" hidden="false" customHeight="false" outlineLevel="0" collapsed="false">
      <c r="A100" s="2" t="s">
        <v>163</v>
      </c>
      <c r="B100" s="2" t="s">
        <v>164</v>
      </c>
      <c r="C100" s="2" t="s">
        <v>79</v>
      </c>
      <c r="D100" s="2" t="s">
        <v>17</v>
      </c>
      <c r="E100" s="2" t="s">
        <v>41</v>
      </c>
      <c r="F100" s="2" t="s">
        <v>42</v>
      </c>
      <c r="G100" s="2" t="n">
        <v>4</v>
      </c>
      <c r="H100" s="2" t="s">
        <v>101</v>
      </c>
      <c r="I100" s="4" t="n">
        <v>46133</v>
      </c>
      <c r="J100" s="2" t="s">
        <v>102</v>
      </c>
    </row>
    <row r="101" customFormat="false" ht="15" hidden="false" customHeight="false" outlineLevel="0" collapsed="false">
      <c r="A101" s="5" t="s">
        <v>165</v>
      </c>
      <c r="B101" s="5" t="s">
        <v>166</v>
      </c>
      <c r="C101" s="5" t="s">
        <v>87</v>
      </c>
      <c r="D101" s="5" t="s">
        <v>24</v>
      </c>
      <c r="E101" s="5" t="s">
        <v>13</v>
      </c>
      <c r="F101" s="5" t="s">
        <v>14</v>
      </c>
      <c r="G101" s="5" t="n">
        <v>4</v>
      </c>
      <c r="H101" s="5" t="s">
        <v>99</v>
      </c>
      <c r="I101" s="7" t="n">
        <v>46077</v>
      </c>
      <c r="J101" s="5" t="s">
        <v>100</v>
      </c>
    </row>
    <row r="102" customFormat="false" ht="15" hidden="false" customHeight="false" outlineLevel="0" collapsed="false">
      <c r="A102" s="2" t="s">
        <v>165</v>
      </c>
      <c r="B102" s="2" t="s">
        <v>166</v>
      </c>
      <c r="C102" s="2" t="s">
        <v>87</v>
      </c>
      <c r="D102" s="2" t="s">
        <v>24</v>
      </c>
      <c r="E102" s="2" t="s">
        <v>63</v>
      </c>
      <c r="F102" s="2" t="s">
        <v>64</v>
      </c>
      <c r="G102" s="2" t="n">
        <v>4</v>
      </c>
      <c r="H102" s="2" t="s">
        <v>101</v>
      </c>
      <c r="I102" s="4" t="n">
        <v>46075</v>
      </c>
      <c r="J102" s="2" t="s">
        <v>102</v>
      </c>
    </row>
    <row r="103" customFormat="false" ht="15" hidden="false" customHeight="false" outlineLevel="0" collapsed="false">
      <c r="A103" s="5" t="s">
        <v>167</v>
      </c>
      <c r="B103" s="5" t="s">
        <v>168</v>
      </c>
      <c r="C103" s="5" t="s">
        <v>87</v>
      </c>
      <c r="D103" s="5" t="s">
        <v>17</v>
      </c>
      <c r="E103" s="5" t="s">
        <v>48</v>
      </c>
      <c r="F103" s="5" t="s">
        <v>49</v>
      </c>
      <c r="G103" s="5" t="n">
        <v>4</v>
      </c>
      <c r="H103" s="5" t="s">
        <v>107</v>
      </c>
      <c r="I103" s="7" t="n">
        <v>46104</v>
      </c>
      <c r="J103" s="5" t="s">
        <v>102</v>
      </c>
    </row>
    <row r="104" customFormat="false" ht="15" hidden="false" customHeight="false" outlineLevel="0" collapsed="false">
      <c r="A104" s="2" t="s">
        <v>167</v>
      </c>
      <c r="B104" s="2" t="s">
        <v>168</v>
      </c>
      <c r="C104" s="2" t="s">
        <v>87</v>
      </c>
      <c r="D104" s="2" t="s">
        <v>17</v>
      </c>
      <c r="E104" s="2" t="s">
        <v>39</v>
      </c>
      <c r="F104" s="2" t="s">
        <v>40</v>
      </c>
      <c r="G104" s="2" t="n">
        <v>4</v>
      </c>
      <c r="H104" s="2" t="s">
        <v>101</v>
      </c>
      <c r="I104" s="4" t="n">
        <v>46030</v>
      </c>
      <c r="J104" s="2" t="s">
        <v>102</v>
      </c>
    </row>
    <row r="105" customFormat="false" ht="15" hidden="false" customHeight="false" outlineLevel="0" collapsed="false">
      <c r="A105" s="5" t="s">
        <v>167</v>
      </c>
      <c r="B105" s="5" t="s">
        <v>168</v>
      </c>
      <c r="C105" s="5" t="s">
        <v>87</v>
      </c>
      <c r="D105" s="5" t="s">
        <v>17</v>
      </c>
      <c r="E105" s="5" t="s">
        <v>53</v>
      </c>
      <c r="F105" s="5" t="s">
        <v>54</v>
      </c>
      <c r="G105" s="5" t="n">
        <v>4</v>
      </c>
      <c r="H105" s="5" t="s">
        <v>101</v>
      </c>
      <c r="I105" s="7" t="n">
        <v>46050</v>
      </c>
      <c r="J105" s="5" t="s">
        <v>102</v>
      </c>
    </row>
    <row r="106" customFormat="false" ht="15" hidden="false" customHeight="false" outlineLevel="0" collapsed="false">
      <c r="A106" s="2" t="s">
        <v>169</v>
      </c>
      <c r="B106" s="2" t="s">
        <v>170</v>
      </c>
      <c r="C106" s="2" t="s">
        <v>90</v>
      </c>
      <c r="D106" s="2" t="s">
        <v>17</v>
      </c>
      <c r="E106" s="2" t="s">
        <v>41</v>
      </c>
      <c r="F106" s="2" t="s">
        <v>42</v>
      </c>
      <c r="G106" s="2" t="n">
        <v>4</v>
      </c>
      <c r="H106" s="2" t="s">
        <v>99</v>
      </c>
      <c r="I106" s="4" t="n">
        <v>46048</v>
      </c>
      <c r="J106" s="2" t="s">
        <v>107</v>
      </c>
    </row>
    <row r="107" customFormat="false" ht="15" hidden="false" customHeight="false" outlineLevel="0" collapsed="false">
      <c r="A107" s="5" t="s">
        <v>169</v>
      </c>
      <c r="B107" s="5" t="s">
        <v>170</v>
      </c>
      <c r="C107" s="5" t="s">
        <v>90</v>
      </c>
      <c r="D107" s="5" t="s">
        <v>17</v>
      </c>
      <c r="E107" s="5" t="s">
        <v>44</v>
      </c>
      <c r="F107" s="5" t="s">
        <v>45</v>
      </c>
      <c r="G107" s="5" t="n">
        <v>4</v>
      </c>
      <c r="H107" s="5" t="s">
        <v>101</v>
      </c>
      <c r="I107" s="7" t="n">
        <v>46076</v>
      </c>
      <c r="J107" s="5" t="s">
        <v>102</v>
      </c>
    </row>
    <row r="108" customFormat="false" ht="15" hidden="false" customHeight="false" outlineLevel="0" collapsed="false">
      <c r="A108" s="2" t="s">
        <v>171</v>
      </c>
      <c r="B108" s="2" t="s">
        <v>172</v>
      </c>
      <c r="C108" s="2" t="s">
        <v>87</v>
      </c>
      <c r="D108" s="2" t="s">
        <v>17</v>
      </c>
      <c r="E108" s="2" t="s">
        <v>21</v>
      </c>
      <c r="F108" s="2" t="s">
        <v>22</v>
      </c>
      <c r="G108" s="2" t="n">
        <v>4</v>
      </c>
      <c r="H108" s="2" t="s">
        <v>99</v>
      </c>
      <c r="I108" s="4" t="n">
        <v>46098</v>
      </c>
      <c r="J108" s="2" t="s">
        <v>107</v>
      </c>
    </row>
    <row r="109" customFormat="false" ht="15" hidden="false" customHeight="false" outlineLevel="0" collapsed="false">
      <c r="A109" s="5" t="s">
        <v>171</v>
      </c>
      <c r="B109" s="5" t="s">
        <v>172</v>
      </c>
      <c r="C109" s="5" t="s">
        <v>87</v>
      </c>
      <c r="D109" s="5" t="s">
        <v>17</v>
      </c>
      <c r="E109" s="5" t="s">
        <v>69</v>
      </c>
      <c r="F109" s="5" t="s">
        <v>70</v>
      </c>
      <c r="G109" s="5" t="n">
        <v>4</v>
      </c>
      <c r="H109" s="5" t="s">
        <v>107</v>
      </c>
      <c r="I109" s="7" t="n">
        <v>46046</v>
      </c>
      <c r="J109" s="5" t="s">
        <v>100</v>
      </c>
    </row>
    <row r="110" customFormat="false" ht="15" hidden="false" customHeight="false" outlineLevel="0" collapsed="false">
      <c r="A110" s="2" t="s">
        <v>171</v>
      </c>
      <c r="B110" s="2" t="s">
        <v>172</v>
      </c>
      <c r="C110" s="2" t="s">
        <v>87</v>
      </c>
      <c r="D110" s="2" t="s">
        <v>17</v>
      </c>
      <c r="E110" s="2" t="s">
        <v>44</v>
      </c>
      <c r="F110" s="2" t="s">
        <v>45</v>
      </c>
      <c r="G110" s="2" t="n">
        <v>4</v>
      </c>
      <c r="H110" s="2" t="s">
        <v>107</v>
      </c>
      <c r="I110" s="4" t="n">
        <v>46044</v>
      </c>
      <c r="J110" s="2" t="s">
        <v>102</v>
      </c>
    </row>
    <row r="111" customFormat="false" ht="15" hidden="false" customHeight="false" outlineLevel="0" collapsed="false">
      <c r="A111" s="5" t="s">
        <v>173</v>
      </c>
      <c r="B111" s="5" t="s">
        <v>174</v>
      </c>
      <c r="C111" s="5" t="s">
        <v>87</v>
      </c>
      <c r="D111" s="5" t="s">
        <v>24</v>
      </c>
      <c r="E111" s="5" t="s">
        <v>58</v>
      </c>
      <c r="F111" s="5" t="s">
        <v>59</v>
      </c>
      <c r="G111" s="5" t="n">
        <v>4</v>
      </c>
      <c r="H111" s="5" t="s">
        <v>101</v>
      </c>
      <c r="I111" s="7" t="n">
        <v>46119</v>
      </c>
      <c r="J111" s="5" t="s">
        <v>102</v>
      </c>
    </row>
    <row r="112" customFormat="false" ht="15" hidden="false" customHeight="false" outlineLevel="0" collapsed="false">
      <c r="A112" s="2" t="s">
        <v>173</v>
      </c>
      <c r="B112" s="2" t="s">
        <v>174</v>
      </c>
      <c r="C112" s="2" t="s">
        <v>87</v>
      </c>
      <c r="D112" s="2" t="s">
        <v>24</v>
      </c>
      <c r="E112" s="2" t="s">
        <v>44</v>
      </c>
      <c r="F112" s="2" t="s">
        <v>45</v>
      </c>
      <c r="G112" s="2" t="n">
        <v>4</v>
      </c>
      <c r="H112" s="2" t="s">
        <v>99</v>
      </c>
      <c r="I112" s="4" t="n">
        <v>46121</v>
      </c>
      <c r="J112" s="2" t="s">
        <v>102</v>
      </c>
    </row>
    <row r="113" customFormat="false" ht="15" hidden="false" customHeight="false" outlineLevel="0" collapsed="false">
      <c r="A113" s="5" t="s">
        <v>173</v>
      </c>
      <c r="B113" s="5" t="s">
        <v>174</v>
      </c>
      <c r="C113" s="5" t="s">
        <v>87</v>
      </c>
      <c r="D113" s="5" t="s">
        <v>24</v>
      </c>
      <c r="E113" s="5" t="s">
        <v>63</v>
      </c>
      <c r="F113" s="5" t="s">
        <v>64</v>
      </c>
      <c r="G113" s="5" t="n">
        <v>4</v>
      </c>
      <c r="H113" s="5" t="s">
        <v>99</v>
      </c>
      <c r="I113" s="7" t="n">
        <v>46087</v>
      </c>
      <c r="J113" s="5" t="s">
        <v>107</v>
      </c>
    </row>
    <row r="114" customFormat="false" ht="15" hidden="false" customHeight="false" outlineLevel="0" collapsed="false">
      <c r="A114" s="2" t="s">
        <v>173</v>
      </c>
      <c r="B114" s="2" t="s">
        <v>174</v>
      </c>
      <c r="C114" s="2" t="s">
        <v>87</v>
      </c>
      <c r="D114" s="2" t="s">
        <v>24</v>
      </c>
      <c r="E114" s="2" t="s">
        <v>29</v>
      </c>
      <c r="F114" s="2" t="s">
        <v>30</v>
      </c>
      <c r="G114" s="2" t="n">
        <v>4</v>
      </c>
      <c r="H114" s="2" t="s">
        <v>101</v>
      </c>
      <c r="I114" s="4" t="n">
        <v>46117</v>
      </c>
      <c r="J114" s="2" t="s">
        <v>102</v>
      </c>
    </row>
    <row r="115" customFormat="false" ht="15" hidden="false" customHeight="false" outlineLevel="0" collapsed="false">
      <c r="A115" s="5" t="s">
        <v>175</v>
      </c>
      <c r="B115" s="5" t="s">
        <v>176</v>
      </c>
      <c r="C115" s="5" t="s">
        <v>87</v>
      </c>
      <c r="D115" s="5" t="s">
        <v>17</v>
      </c>
      <c r="E115" s="5" t="s">
        <v>58</v>
      </c>
      <c r="F115" s="5" t="s">
        <v>59</v>
      </c>
      <c r="G115" s="5" t="n">
        <v>4</v>
      </c>
      <c r="H115" s="5" t="s">
        <v>101</v>
      </c>
      <c r="I115" s="7" t="n">
        <v>46059</v>
      </c>
      <c r="J115" s="5" t="s">
        <v>102</v>
      </c>
    </row>
    <row r="116" customFormat="false" ht="15" hidden="false" customHeight="false" outlineLevel="0" collapsed="false">
      <c r="A116" s="2" t="s">
        <v>175</v>
      </c>
      <c r="B116" s="2" t="s">
        <v>176</v>
      </c>
      <c r="C116" s="2" t="s">
        <v>87</v>
      </c>
      <c r="D116" s="2" t="s">
        <v>17</v>
      </c>
      <c r="E116" s="2" t="s">
        <v>26</v>
      </c>
      <c r="F116" s="2" t="s">
        <v>27</v>
      </c>
      <c r="G116" s="2" t="n">
        <v>4</v>
      </c>
      <c r="H116" s="2" t="s">
        <v>101</v>
      </c>
      <c r="I116" s="4" t="n">
        <v>46023</v>
      </c>
      <c r="J116" s="2" t="s">
        <v>102</v>
      </c>
    </row>
    <row r="117" customFormat="false" ht="15" hidden="false" customHeight="false" outlineLevel="0" collapsed="false">
      <c r="A117" s="5" t="s">
        <v>177</v>
      </c>
      <c r="B117" s="5" t="s">
        <v>178</v>
      </c>
      <c r="C117" s="5" t="s">
        <v>79</v>
      </c>
      <c r="D117" s="5" t="s">
        <v>24</v>
      </c>
      <c r="E117" s="5" t="s">
        <v>48</v>
      </c>
      <c r="F117" s="5" t="s">
        <v>49</v>
      </c>
      <c r="G117" s="5" t="n">
        <v>4</v>
      </c>
      <c r="H117" s="5" t="s">
        <v>101</v>
      </c>
      <c r="I117" s="7" t="n">
        <v>46115</v>
      </c>
      <c r="J117" s="5" t="s">
        <v>102</v>
      </c>
    </row>
    <row r="118" customFormat="false" ht="15" hidden="false" customHeight="false" outlineLevel="0" collapsed="false">
      <c r="A118" s="2" t="s">
        <v>177</v>
      </c>
      <c r="B118" s="2" t="s">
        <v>178</v>
      </c>
      <c r="C118" s="2" t="s">
        <v>79</v>
      </c>
      <c r="D118" s="2" t="s">
        <v>24</v>
      </c>
      <c r="E118" s="2" t="s">
        <v>21</v>
      </c>
      <c r="F118" s="2" t="s">
        <v>22</v>
      </c>
      <c r="G118" s="2" t="n">
        <v>4</v>
      </c>
      <c r="H118" s="2" t="s">
        <v>99</v>
      </c>
      <c r="I118" s="4" t="n">
        <v>46074</v>
      </c>
      <c r="J118" s="2" t="s">
        <v>102</v>
      </c>
    </row>
    <row r="119" customFormat="false" ht="15" hidden="false" customHeight="false" outlineLevel="0" collapsed="false">
      <c r="A119" s="5" t="s">
        <v>177</v>
      </c>
      <c r="B119" s="5" t="s">
        <v>178</v>
      </c>
      <c r="C119" s="5" t="s">
        <v>79</v>
      </c>
      <c r="D119" s="5" t="s">
        <v>24</v>
      </c>
      <c r="E119" s="5" t="s">
        <v>69</v>
      </c>
      <c r="F119" s="5" t="s">
        <v>70</v>
      </c>
      <c r="G119" s="5" t="n">
        <v>4</v>
      </c>
      <c r="H119" s="5" t="s">
        <v>101</v>
      </c>
      <c r="I119" s="7" t="n">
        <v>46095</v>
      </c>
      <c r="J119" s="5" t="s">
        <v>102</v>
      </c>
    </row>
    <row r="120" customFormat="false" ht="15" hidden="false" customHeight="false" outlineLevel="0" collapsed="false">
      <c r="A120" s="2" t="s">
        <v>177</v>
      </c>
      <c r="B120" s="2" t="s">
        <v>178</v>
      </c>
      <c r="C120" s="2" t="s">
        <v>79</v>
      </c>
      <c r="D120" s="2" t="s">
        <v>24</v>
      </c>
      <c r="E120" s="2" t="s">
        <v>44</v>
      </c>
      <c r="F120" s="2" t="s">
        <v>45</v>
      </c>
      <c r="G120" s="2" t="n">
        <v>4</v>
      </c>
      <c r="H120" s="2" t="s">
        <v>101</v>
      </c>
      <c r="I120" s="4" t="n">
        <v>46030</v>
      </c>
      <c r="J120" s="2" t="s">
        <v>102</v>
      </c>
    </row>
    <row r="121" customFormat="false" ht="15" hidden="false" customHeight="false" outlineLevel="0" collapsed="false">
      <c r="A121" s="5" t="s">
        <v>179</v>
      </c>
      <c r="B121" s="5" t="s">
        <v>180</v>
      </c>
      <c r="C121" s="5" t="s">
        <v>90</v>
      </c>
      <c r="D121" s="5" t="s">
        <v>24</v>
      </c>
      <c r="E121" s="5" t="s">
        <v>36</v>
      </c>
      <c r="F121" s="5" t="s">
        <v>37</v>
      </c>
      <c r="G121" s="5" t="n">
        <v>4</v>
      </c>
      <c r="H121" s="5" t="s">
        <v>101</v>
      </c>
      <c r="I121" s="7" t="n">
        <v>46059</v>
      </c>
      <c r="J121" s="5" t="s">
        <v>102</v>
      </c>
    </row>
    <row r="122" customFormat="false" ht="15" hidden="false" customHeight="false" outlineLevel="0" collapsed="false">
      <c r="A122" s="2" t="s">
        <v>179</v>
      </c>
      <c r="B122" s="2" t="s">
        <v>180</v>
      </c>
      <c r="C122" s="2" t="s">
        <v>90</v>
      </c>
      <c r="D122" s="2" t="s">
        <v>24</v>
      </c>
      <c r="E122" s="2" t="s">
        <v>67</v>
      </c>
      <c r="F122" s="2" t="s">
        <v>68</v>
      </c>
      <c r="G122" s="2" t="n">
        <v>4</v>
      </c>
      <c r="H122" s="2" t="s">
        <v>101</v>
      </c>
      <c r="I122" s="4" t="n">
        <v>46028</v>
      </c>
      <c r="J122" s="2" t="s">
        <v>102</v>
      </c>
    </row>
    <row r="123" customFormat="false" ht="15" hidden="false" customHeight="false" outlineLevel="0" collapsed="false">
      <c r="A123" s="5" t="s">
        <v>179</v>
      </c>
      <c r="B123" s="5" t="s">
        <v>180</v>
      </c>
      <c r="C123" s="5" t="s">
        <v>90</v>
      </c>
      <c r="D123" s="5" t="s">
        <v>24</v>
      </c>
      <c r="E123" s="5" t="s">
        <v>39</v>
      </c>
      <c r="F123" s="5" t="s">
        <v>40</v>
      </c>
      <c r="G123" s="5" t="n">
        <v>4</v>
      </c>
      <c r="H123" s="5" t="s">
        <v>101</v>
      </c>
      <c r="I123" s="7" t="n">
        <v>46060</v>
      </c>
      <c r="J123" s="5" t="s">
        <v>102</v>
      </c>
    </row>
    <row r="124" customFormat="false" ht="15" hidden="false" customHeight="false" outlineLevel="0" collapsed="false">
      <c r="A124" s="2" t="s">
        <v>181</v>
      </c>
      <c r="B124" s="2" t="s">
        <v>182</v>
      </c>
      <c r="C124" s="2" t="s">
        <v>90</v>
      </c>
      <c r="D124" s="2" t="s">
        <v>17</v>
      </c>
      <c r="E124" s="2" t="s">
        <v>34</v>
      </c>
      <c r="F124" s="2" t="s">
        <v>35</v>
      </c>
      <c r="G124" s="2" t="n">
        <v>4</v>
      </c>
      <c r="H124" s="2" t="s">
        <v>99</v>
      </c>
      <c r="I124" s="4" t="n">
        <v>46078</v>
      </c>
      <c r="J124" s="2" t="s">
        <v>100</v>
      </c>
    </row>
    <row r="125" customFormat="false" ht="15" hidden="false" customHeight="false" outlineLevel="0" collapsed="false">
      <c r="A125" s="5" t="s">
        <v>181</v>
      </c>
      <c r="B125" s="5" t="s">
        <v>182</v>
      </c>
      <c r="C125" s="5" t="s">
        <v>90</v>
      </c>
      <c r="D125" s="5" t="s">
        <v>17</v>
      </c>
      <c r="E125" s="5" t="s">
        <v>39</v>
      </c>
      <c r="F125" s="5" t="s">
        <v>40</v>
      </c>
      <c r="G125" s="5" t="n">
        <v>4</v>
      </c>
      <c r="H125" s="5" t="s">
        <v>99</v>
      </c>
      <c r="I125" s="7" t="n">
        <v>46140</v>
      </c>
      <c r="J125" s="5" t="s">
        <v>100</v>
      </c>
    </row>
    <row r="126" customFormat="false" ht="15" hidden="false" customHeight="false" outlineLevel="0" collapsed="false">
      <c r="A126" s="2" t="s">
        <v>181</v>
      </c>
      <c r="B126" s="2" t="s">
        <v>182</v>
      </c>
      <c r="C126" s="2" t="s">
        <v>90</v>
      </c>
      <c r="D126" s="2" t="s">
        <v>17</v>
      </c>
      <c r="E126" s="2" t="s">
        <v>21</v>
      </c>
      <c r="F126" s="2" t="s">
        <v>22</v>
      </c>
      <c r="G126" s="2" t="n">
        <v>4</v>
      </c>
      <c r="H126" s="2" t="s">
        <v>101</v>
      </c>
      <c r="I126" s="4" t="n">
        <v>46129</v>
      </c>
      <c r="J126" s="2" t="s">
        <v>102</v>
      </c>
    </row>
    <row r="127" customFormat="false" ht="15" hidden="false" customHeight="false" outlineLevel="0" collapsed="false">
      <c r="A127" s="5" t="s">
        <v>181</v>
      </c>
      <c r="B127" s="5" t="s">
        <v>182</v>
      </c>
      <c r="C127" s="5" t="s">
        <v>90</v>
      </c>
      <c r="D127" s="5" t="s">
        <v>17</v>
      </c>
      <c r="E127" s="5" t="s">
        <v>63</v>
      </c>
      <c r="F127" s="5" t="s">
        <v>64</v>
      </c>
      <c r="G127" s="5" t="n">
        <v>4</v>
      </c>
      <c r="H127" s="5" t="s">
        <v>101</v>
      </c>
      <c r="I127" s="7" t="n">
        <v>46060</v>
      </c>
      <c r="J127" s="5" t="s">
        <v>102</v>
      </c>
    </row>
    <row r="128" customFormat="false" ht="15" hidden="false" customHeight="false" outlineLevel="0" collapsed="false">
      <c r="A128" s="2" t="s">
        <v>183</v>
      </c>
      <c r="B128" s="2" t="s">
        <v>184</v>
      </c>
      <c r="C128" s="2" t="s">
        <v>79</v>
      </c>
      <c r="D128" s="2" t="s">
        <v>17</v>
      </c>
      <c r="E128" s="2" t="s">
        <v>32</v>
      </c>
      <c r="F128" s="2" t="s">
        <v>33</v>
      </c>
      <c r="G128" s="2" t="n">
        <v>4</v>
      </c>
      <c r="H128" s="2" t="s">
        <v>107</v>
      </c>
      <c r="I128" s="4" t="n">
        <v>46106</v>
      </c>
      <c r="J128" s="2" t="s">
        <v>107</v>
      </c>
    </row>
    <row r="129" customFormat="false" ht="15" hidden="false" customHeight="false" outlineLevel="0" collapsed="false">
      <c r="A129" s="5" t="s">
        <v>183</v>
      </c>
      <c r="B129" s="5" t="s">
        <v>184</v>
      </c>
      <c r="C129" s="5" t="s">
        <v>79</v>
      </c>
      <c r="D129" s="5" t="s">
        <v>17</v>
      </c>
      <c r="E129" s="5" t="s">
        <v>39</v>
      </c>
      <c r="F129" s="5" t="s">
        <v>40</v>
      </c>
      <c r="G129" s="5" t="n">
        <v>4</v>
      </c>
      <c r="H129" s="5" t="s">
        <v>107</v>
      </c>
      <c r="I129" s="7" t="n">
        <v>46047</v>
      </c>
      <c r="J129" s="5" t="s">
        <v>100</v>
      </c>
    </row>
    <row r="130" customFormat="false" ht="15" hidden="false" customHeight="false" outlineLevel="0" collapsed="false">
      <c r="A130" s="2" t="s">
        <v>185</v>
      </c>
      <c r="B130" s="2" t="s">
        <v>151</v>
      </c>
      <c r="C130" s="2" t="s">
        <v>79</v>
      </c>
      <c r="D130" s="2" t="s">
        <v>17</v>
      </c>
      <c r="E130" s="2" t="s">
        <v>41</v>
      </c>
      <c r="F130" s="2" t="s">
        <v>42</v>
      </c>
      <c r="G130" s="2" t="n">
        <v>4</v>
      </c>
      <c r="H130" s="2" t="s">
        <v>101</v>
      </c>
      <c r="I130" s="4" t="n">
        <v>46115</v>
      </c>
      <c r="J130" s="2" t="s">
        <v>102</v>
      </c>
    </row>
    <row r="131" customFormat="false" ht="15" hidden="false" customHeight="false" outlineLevel="0" collapsed="false">
      <c r="A131" s="5" t="s">
        <v>185</v>
      </c>
      <c r="B131" s="5" t="s">
        <v>151</v>
      </c>
      <c r="C131" s="5" t="s">
        <v>79</v>
      </c>
      <c r="D131" s="5" t="s">
        <v>17</v>
      </c>
      <c r="E131" s="5" t="s">
        <v>36</v>
      </c>
      <c r="F131" s="5" t="s">
        <v>37</v>
      </c>
      <c r="G131" s="5" t="n">
        <v>4</v>
      </c>
      <c r="H131" s="5" t="s">
        <v>101</v>
      </c>
      <c r="I131" s="7" t="n">
        <v>46126</v>
      </c>
      <c r="J131" s="5" t="s">
        <v>102</v>
      </c>
    </row>
    <row r="132" customFormat="false" ht="15" hidden="false" customHeight="false" outlineLevel="0" collapsed="false">
      <c r="A132" s="2" t="s">
        <v>185</v>
      </c>
      <c r="B132" s="2" t="s">
        <v>151</v>
      </c>
      <c r="C132" s="2" t="s">
        <v>79</v>
      </c>
      <c r="D132" s="2" t="s">
        <v>17</v>
      </c>
      <c r="E132" s="2" t="s">
        <v>46</v>
      </c>
      <c r="F132" s="2" t="s">
        <v>47</v>
      </c>
      <c r="G132" s="2" t="n">
        <v>4</v>
      </c>
      <c r="H132" s="2" t="s">
        <v>101</v>
      </c>
      <c r="I132" s="4" t="n">
        <v>46045</v>
      </c>
      <c r="J132" s="2" t="s">
        <v>102</v>
      </c>
    </row>
    <row r="133" customFormat="false" ht="15" hidden="false" customHeight="false" outlineLevel="0" collapsed="false">
      <c r="A133" s="5" t="s">
        <v>185</v>
      </c>
      <c r="B133" s="5" t="s">
        <v>151</v>
      </c>
      <c r="C133" s="5" t="s">
        <v>79</v>
      </c>
      <c r="D133" s="5" t="s">
        <v>17</v>
      </c>
      <c r="E133" s="5" t="s">
        <v>29</v>
      </c>
      <c r="F133" s="5" t="s">
        <v>30</v>
      </c>
      <c r="G133" s="5" t="n">
        <v>4</v>
      </c>
      <c r="H133" s="5" t="s">
        <v>101</v>
      </c>
      <c r="I133" s="7" t="n">
        <v>46101</v>
      </c>
      <c r="J133" s="5" t="s">
        <v>102</v>
      </c>
    </row>
    <row r="134" customFormat="false" ht="15" hidden="false" customHeight="false" outlineLevel="0" collapsed="false">
      <c r="A134" s="2" t="s">
        <v>186</v>
      </c>
      <c r="B134" s="2" t="s">
        <v>187</v>
      </c>
      <c r="C134" s="2" t="s">
        <v>87</v>
      </c>
      <c r="D134" s="2" t="s">
        <v>24</v>
      </c>
      <c r="E134" s="2" t="s">
        <v>63</v>
      </c>
      <c r="F134" s="2" t="s">
        <v>64</v>
      </c>
      <c r="G134" s="2" t="n">
        <v>4</v>
      </c>
      <c r="H134" s="2" t="s">
        <v>101</v>
      </c>
      <c r="I134" s="4" t="n">
        <v>46134</v>
      </c>
      <c r="J134" s="2" t="s">
        <v>102</v>
      </c>
    </row>
    <row r="135" customFormat="false" ht="15" hidden="false" customHeight="false" outlineLevel="0" collapsed="false">
      <c r="A135" s="5" t="s">
        <v>186</v>
      </c>
      <c r="B135" s="5" t="s">
        <v>187</v>
      </c>
      <c r="C135" s="5" t="s">
        <v>87</v>
      </c>
      <c r="D135" s="5" t="s">
        <v>24</v>
      </c>
      <c r="E135" s="5" t="s">
        <v>32</v>
      </c>
      <c r="F135" s="5" t="s">
        <v>33</v>
      </c>
      <c r="G135" s="5" t="n">
        <v>4</v>
      </c>
      <c r="H135" s="5" t="s">
        <v>99</v>
      </c>
      <c r="I135" s="7" t="n">
        <v>46072</v>
      </c>
      <c r="J135" s="5" t="s">
        <v>100</v>
      </c>
    </row>
    <row r="136" customFormat="false" ht="15" hidden="false" customHeight="false" outlineLevel="0" collapsed="false">
      <c r="A136" s="2" t="s">
        <v>186</v>
      </c>
      <c r="B136" s="2" t="s">
        <v>187</v>
      </c>
      <c r="C136" s="2" t="s">
        <v>87</v>
      </c>
      <c r="D136" s="2" t="s">
        <v>24</v>
      </c>
      <c r="E136" s="2" t="s">
        <v>26</v>
      </c>
      <c r="F136" s="2" t="s">
        <v>27</v>
      </c>
      <c r="G136" s="2" t="n">
        <v>4</v>
      </c>
      <c r="H136" s="2" t="s">
        <v>101</v>
      </c>
      <c r="I136" s="4" t="n">
        <v>46029</v>
      </c>
      <c r="J136" s="2" t="s">
        <v>102</v>
      </c>
    </row>
    <row r="137" customFormat="false" ht="15" hidden="false" customHeight="false" outlineLevel="0" collapsed="false">
      <c r="A137" s="5" t="s">
        <v>186</v>
      </c>
      <c r="B137" s="5" t="s">
        <v>187</v>
      </c>
      <c r="C137" s="5" t="s">
        <v>87</v>
      </c>
      <c r="D137" s="5" t="s">
        <v>24</v>
      </c>
      <c r="E137" s="5" t="s">
        <v>29</v>
      </c>
      <c r="F137" s="5" t="s">
        <v>30</v>
      </c>
      <c r="G137" s="5" t="n">
        <v>4</v>
      </c>
      <c r="H137" s="5" t="s">
        <v>99</v>
      </c>
      <c r="I137" s="7" t="n">
        <v>46050</v>
      </c>
      <c r="J137" s="5" t="s">
        <v>100</v>
      </c>
    </row>
    <row r="138" customFormat="false" ht="15" hidden="false" customHeight="false" outlineLevel="0" collapsed="false">
      <c r="A138" s="2" t="s">
        <v>188</v>
      </c>
      <c r="B138" s="2" t="s">
        <v>189</v>
      </c>
      <c r="C138" s="2" t="s">
        <v>90</v>
      </c>
      <c r="D138" s="2" t="s">
        <v>24</v>
      </c>
      <c r="E138" s="2" t="s">
        <v>53</v>
      </c>
      <c r="F138" s="2" t="s">
        <v>54</v>
      </c>
      <c r="G138" s="2" t="n">
        <v>4</v>
      </c>
      <c r="H138" s="2" t="s">
        <v>107</v>
      </c>
      <c r="I138" s="4" t="n">
        <v>46025</v>
      </c>
      <c r="J138" s="2" t="s">
        <v>100</v>
      </c>
    </row>
    <row r="139" customFormat="false" ht="15" hidden="false" customHeight="false" outlineLevel="0" collapsed="false">
      <c r="A139" s="5" t="s">
        <v>188</v>
      </c>
      <c r="B139" s="5" t="s">
        <v>189</v>
      </c>
      <c r="C139" s="5" t="s">
        <v>90</v>
      </c>
      <c r="D139" s="5" t="s">
        <v>24</v>
      </c>
      <c r="E139" s="5" t="s">
        <v>29</v>
      </c>
      <c r="F139" s="5" t="s">
        <v>30</v>
      </c>
      <c r="G139" s="5" t="n">
        <v>4</v>
      </c>
      <c r="H139" s="5" t="s">
        <v>101</v>
      </c>
      <c r="I139" s="7" t="n">
        <v>46034</v>
      </c>
      <c r="J139" s="5" t="s">
        <v>102</v>
      </c>
    </row>
    <row r="140" customFormat="false" ht="15" hidden="false" customHeight="false" outlineLevel="0" collapsed="false">
      <c r="A140" s="2" t="s">
        <v>190</v>
      </c>
      <c r="B140" s="2" t="s">
        <v>191</v>
      </c>
      <c r="C140" s="2" t="s">
        <v>79</v>
      </c>
      <c r="D140" s="2" t="s">
        <v>17</v>
      </c>
      <c r="E140" s="2" t="s">
        <v>65</v>
      </c>
      <c r="F140" s="2" t="s">
        <v>66</v>
      </c>
      <c r="G140" s="2" t="n">
        <v>4</v>
      </c>
      <c r="H140" s="2" t="s">
        <v>101</v>
      </c>
      <c r="I140" s="4" t="n">
        <v>46038</v>
      </c>
      <c r="J140" s="2" t="s">
        <v>102</v>
      </c>
    </row>
    <row r="141" customFormat="false" ht="15" hidden="false" customHeight="false" outlineLevel="0" collapsed="false">
      <c r="A141" s="5" t="s">
        <v>190</v>
      </c>
      <c r="B141" s="5" t="s">
        <v>191</v>
      </c>
      <c r="C141" s="5" t="s">
        <v>79</v>
      </c>
      <c r="D141" s="5" t="s">
        <v>17</v>
      </c>
      <c r="E141" s="5" t="s">
        <v>51</v>
      </c>
      <c r="F141" s="5" t="s">
        <v>52</v>
      </c>
      <c r="G141" s="5" t="n">
        <v>4</v>
      </c>
      <c r="H141" s="5" t="s">
        <v>101</v>
      </c>
      <c r="I141" s="7" t="n">
        <v>46113</v>
      </c>
      <c r="J141" s="5" t="s">
        <v>102</v>
      </c>
    </row>
    <row r="142" customFormat="false" ht="15" hidden="false" customHeight="false" outlineLevel="0" collapsed="false">
      <c r="A142" s="2" t="s">
        <v>192</v>
      </c>
      <c r="B142" s="2" t="s">
        <v>193</v>
      </c>
      <c r="C142" s="2" t="s">
        <v>87</v>
      </c>
      <c r="D142" s="2" t="s">
        <v>24</v>
      </c>
      <c r="E142" s="2" t="s">
        <v>13</v>
      </c>
      <c r="F142" s="2" t="s">
        <v>14</v>
      </c>
      <c r="G142" s="2" t="n">
        <v>4</v>
      </c>
      <c r="H142" s="2" t="s">
        <v>101</v>
      </c>
      <c r="I142" s="4" t="n">
        <v>46137</v>
      </c>
      <c r="J142" s="2" t="s">
        <v>102</v>
      </c>
    </row>
    <row r="143" customFormat="false" ht="15" hidden="false" customHeight="false" outlineLevel="0" collapsed="false">
      <c r="A143" s="5" t="s">
        <v>192</v>
      </c>
      <c r="B143" s="5" t="s">
        <v>193</v>
      </c>
      <c r="C143" s="5" t="s">
        <v>87</v>
      </c>
      <c r="D143" s="5" t="s">
        <v>24</v>
      </c>
      <c r="E143" s="5" t="s">
        <v>56</v>
      </c>
      <c r="F143" s="5" t="s">
        <v>57</v>
      </c>
      <c r="G143" s="5" t="n">
        <v>4</v>
      </c>
      <c r="H143" s="5" t="s">
        <v>101</v>
      </c>
      <c r="I143" s="7" t="n">
        <v>46101</v>
      </c>
      <c r="J143" s="5" t="s">
        <v>102</v>
      </c>
    </row>
    <row r="144" customFormat="false" ht="15" hidden="false" customHeight="false" outlineLevel="0" collapsed="false">
      <c r="A144" s="2" t="s">
        <v>192</v>
      </c>
      <c r="B144" s="2" t="s">
        <v>193</v>
      </c>
      <c r="C144" s="2" t="s">
        <v>87</v>
      </c>
      <c r="D144" s="2" t="s">
        <v>24</v>
      </c>
      <c r="E144" s="2" t="s">
        <v>65</v>
      </c>
      <c r="F144" s="2" t="s">
        <v>66</v>
      </c>
      <c r="G144" s="2" t="n">
        <v>4</v>
      </c>
      <c r="H144" s="2" t="s">
        <v>101</v>
      </c>
      <c r="I144" s="4" t="n">
        <v>46064</v>
      </c>
      <c r="J144" s="2" t="s">
        <v>102</v>
      </c>
    </row>
    <row r="145" customFormat="false" ht="15" hidden="false" customHeight="false" outlineLevel="0" collapsed="false">
      <c r="A145" s="5" t="s">
        <v>192</v>
      </c>
      <c r="B145" s="5" t="s">
        <v>193</v>
      </c>
      <c r="C145" s="5" t="s">
        <v>87</v>
      </c>
      <c r="D145" s="5" t="s">
        <v>24</v>
      </c>
      <c r="E145" s="5" t="s">
        <v>32</v>
      </c>
      <c r="F145" s="5" t="s">
        <v>33</v>
      </c>
      <c r="G145" s="5" t="n">
        <v>4</v>
      </c>
      <c r="H145" s="5" t="s">
        <v>99</v>
      </c>
      <c r="I145" s="7" t="n">
        <v>46047</v>
      </c>
      <c r="J145" s="5" t="s">
        <v>107</v>
      </c>
    </row>
    <row r="146" customFormat="false" ht="15" hidden="false" customHeight="false" outlineLevel="0" collapsed="false">
      <c r="A146" s="2" t="s">
        <v>194</v>
      </c>
      <c r="B146" s="2" t="s">
        <v>195</v>
      </c>
      <c r="C146" s="2" t="s">
        <v>79</v>
      </c>
      <c r="D146" s="2" t="s">
        <v>24</v>
      </c>
      <c r="E146" s="2" t="s">
        <v>72</v>
      </c>
      <c r="F146" s="2" t="s">
        <v>73</v>
      </c>
      <c r="G146" s="2" t="n">
        <v>4</v>
      </c>
      <c r="H146" s="2" t="s">
        <v>101</v>
      </c>
      <c r="I146" s="4" t="n">
        <v>46118</v>
      </c>
      <c r="J146" s="2" t="s">
        <v>102</v>
      </c>
    </row>
    <row r="147" customFormat="false" ht="15" hidden="false" customHeight="false" outlineLevel="0" collapsed="false">
      <c r="A147" s="5" t="s">
        <v>194</v>
      </c>
      <c r="B147" s="5" t="s">
        <v>195</v>
      </c>
      <c r="C147" s="5" t="s">
        <v>79</v>
      </c>
      <c r="D147" s="5" t="s">
        <v>24</v>
      </c>
      <c r="E147" s="5" t="s">
        <v>29</v>
      </c>
      <c r="F147" s="5" t="s">
        <v>30</v>
      </c>
      <c r="G147" s="5" t="n">
        <v>4</v>
      </c>
      <c r="H147" s="5" t="s">
        <v>101</v>
      </c>
      <c r="I147" s="7" t="n">
        <v>46139</v>
      </c>
      <c r="J147" s="5" t="s">
        <v>102</v>
      </c>
    </row>
    <row r="148" customFormat="false" ht="15" hidden="false" customHeight="false" outlineLevel="0" collapsed="false">
      <c r="A148" s="2" t="s">
        <v>196</v>
      </c>
      <c r="B148" s="2" t="s">
        <v>151</v>
      </c>
      <c r="C148" s="2" t="s">
        <v>90</v>
      </c>
      <c r="D148" s="2" t="s">
        <v>24</v>
      </c>
      <c r="E148" s="2" t="s">
        <v>63</v>
      </c>
      <c r="F148" s="2" t="s">
        <v>64</v>
      </c>
      <c r="G148" s="2" t="n">
        <v>4</v>
      </c>
      <c r="H148" s="2" t="s">
        <v>101</v>
      </c>
      <c r="I148" s="4" t="n">
        <v>46065</v>
      </c>
      <c r="J148" s="2" t="s">
        <v>102</v>
      </c>
    </row>
    <row r="149" customFormat="false" ht="15" hidden="false" customHeight="false" outlineLevel="0" collapsed="false">
      <c r="A149" s="5" t="s">
        <v>196</v>
      </c>
      <c r="B149" s="5" t="s">
        <v>151</v>
      </c>
      <c r="C149" s="5" t="s">
        <v>90</v>
      </c>
      <c r="D149" s="5" t="s">
        <v>24</v>
      </c>
      <c r="E149" s="5" t="s">
        <v>67</v>
      </c>
      <c r="F149" s="5" t="s">
        <v>68</v>
      </c>
      <c r="G149" s="5" t="n">
        <v>4</v>
      </c>
      <c r="H149" s="5" t="s">
        <v>101</v>
      </c>
      <c r="I149" s="7" t="n">
        <v>46134</v>
      </c>
      <c r="J149" s="5" t="s">
        <v>102</v>
      </c>
    </row>
    <row r="150" customFormat="false" ht="15" hidden="false" customHeight="false" outlineLevel="0" collapsed="false">
      <c r="A150" s="2" t="s">
        <v>197</v>
      </c>
      <c r="B150" s="2" t="s">
        <v>198</v>
      </c>
      <c r="C150" s="2" t="s">
        <v>87</v>
      </c>
      <c r="D150" s="2" t="s">
        <v>24</v>
      </c>
      <c r="E150" s="2" t="s">
        <v>26</v>
      </c>
      <c r="F150" s="2" t="s">
        <v>27</v>
      </c>
      <c r="G150" s="2" t="n">
        <v>4</v>
      </c>
      <c r="H150" s="2" t="s">
        <v>101</v>
      </c>
      <c r="I150" s="4" t="n">
        <v>46105</v>
      </c>
      <c r="J150" s="2" t="s">
        <v>102</v>
      </c>
    </row>
    <row r="151" customFormat="false" ht="15" hidden="false" customHeight="false" outlineLevel="0" collapsed="false">
      <c r="A151" s="5" t="s">
        <v>197</v>
      </c>
      <c r="B151" s="5" t="s">
        <v>198</v>
      </c>
      <c r="C151" s="5" t="s">
        <v>87</v>
      </c>
      <c r="D151" s="5" t="s">
        <v>24</v>
      </c>
      <c r="E151" s="5" t="s">
        <v>58</v>
      </c>
      <c r="F151" s="5" t="s">
        <v>59</v>
      </c>
      <c r="G151" s="5" t="n">
        <v>4</v>
      </c>
      <c r="H151" s="5" t="s">
        <v>101</v>
      </c>
      <c r="I151" s="7" t="n">
        <v>46103</v>
      </c>
      <c r="J151" s="5" t="s">
        <v>102</v>
      </c>
    </row>
    <row r="152" customFormat="false" ht="15" hidden="false" customHeight="false" outlineLevel="0" collapsed="false">
      <c r="A152" s="2" t="s">
        <v>197</v>
      </c>
      <c r="B152" s="2" t="s">
        <v>198</v>
      </c>
      <c r="C152" s="2" t="s">
        <v>87</v>
      </c>
      <c r="D152" s="2" t="s">
        <v>24</v>
      </c>
      <c r="E152" s="2" t="s">
        <v>21</v>
      </c>
      <c r="F152" s="2" t="s">
        <v>22</v>
      </c>
      <c r="G152" s="2" t="n">
        <v>4</v>
      </c>
      <c r="H152" s="2" t="s">
        <v>101</v>
      </c>
      <c r="I152" s="4" t="n">
        <v>46074</v>
      </c>
      <c r="J152" s="2" t="s">
        <v>102</v>
      </c>
    </row>
    <row r="153" customFormat="false" ht="15" hidden="false" customHeight="false" outlineLevel="0" collapsed="false">
      <c r="A153" s="5" t="s">
        <v>197</v>
      </c>
      <c r="B153" s="5" t="s">
        <v>198</v>
      </c>
      <c r="C153" s="5" t="s">
        <v>87</v>
      </c>
      <c r="D153" s="5" t="s">
        <v>24</v>
      </c>
      <c r="E153" s="5" t="s">
        <v>46</v>
      </c>
      <c r="F153" s="5" t="s">
        <v>47</v>
      </c>
      <c r="G153" s="5" t="n">
        <v>4</v>
      </c>
      <c r="H153" s="5" t="s">
        <v>101</v>
      </c>
      <c r="I153" s="7" t="n">
        <v>46105</v>
      </c>
      <c r="J153" s="5" t="s">
        <v>102</v>
      </c>
    </row>
  </sheetData>
  <autoFilter ref="A1:J153"/>
  <dataValidations count="2">
    <dataValidation allowBlank="false" errorStyle="stop" operator="between" showDropDown="false" showErrorMessage="false" showInputMessage="false" sqref="H2:H153" type="list">
      <formula1>"Confirmed,Pending,Waitlisted,Dropped"</formula1>
      <formula2>0</formula2>
    </dataValidation>
    <dataValidation allowBlank="false" errorStyle="stop" operator="between" showDropDown="false" showErrorMessage="false" showInputMessage="false" sqref="J2:J153" type="list">
      <formula1>"Yes,No,Pending"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8" t="s">
        <v>199</v>
      </c>
      <c r="B1" s="8" t="s">
        <v>200</v>
      </c>
    </row>
    <row r="2" customFormat="false" ht="15" hidden="false" customHeight="false" outlineLevel="0" collapsed="false">
      <c r="A2" s="9" t="s">
        <v>201</v>
      </c>
      <c r="B2" s="10" t="n">
        <f aca="false">COUNTA('Course Offerings'!A2:A100)</f>
        <v>22</v>
      </c>
    </row>
    <row r="3" customFormat="false" ht="15" hidden="false" customHeight="false" outlineLevel="0" collapsed="false">
      <c r="A3" s="11" t="s">
        <v>202</v>
      </c>
      <c r="B3" s="12" t="s">
        <v>203</v>
      </c>
    </row>
    <row r="4" customFormat="false" ht="15" hidden="false" customHeight="false" outlineLevel="0" collapsed="false">
      <c r="A4" s="9" t="s">
        <v>204</v>
      </c>
      <c r="B4" s="13" t="n">
        <f aca="false">AVERAGE('Course Offerings'!H2:H100)</f>
        <v>0.740307344170981</v>
      </c>
    </row>
    <row r="5" customFormat="false" ht="15" hidden="false" customHeight="false" outlineLevel="0" collapsed="false">
      <c r="A5" s="11" t="s">
        <v>205</v>
      </c>
      <c r="B5" s="12" t="n">
        <f aca="false">COUNTIF('Course Offerings'!J2:J100,"Full")</f>
        <v>0</v>
      </c>
    </row>
    <row r="6" customFormat="false" ht="15" hidden="false" customHeight="false" outlineLevel="0" collapsed="false">
      <c r="A6" s="9" t="s">
        <v>206</v>
      </c>
      <c r="B6" s="10" t="n">
        <f aca="false">COUNTA('Enrollment Selections'!A2:A500)</f>
        <v>152</v>
      </c>
    </row>
    <row r="7" customFormat="false" ht="15" hidden="false" customHeight="false" outlineLevel="0" collapsed="false">
      <c r="A7" s="11" t="s">
        <v>207</v>
      </c>
      <c r="B7" s="12" t="n">
        <f aca="false">COUNTIF('Enrollment Selections'!H2:H500,"Confirmed")</f>
        <v>101</v>
      </c>
    </row>
    <row r="8" customFormat="false" ht="15" hidden="false" customHeight="false" outlineLevel="0" collapsed="false">
      <c r="A8" s="9" t="s">
        <v>208</v>
      </c>
      <c r="B8" s="10" t="n">
        <f aca="false">COUNTIF('Enrollment Selections'!H2:H500,"Pending")</f>
        <v>18</v>
      </c>
    </row>
    <row r="9" customFormat="false" ht="15" hidden="false" customHeight="false" outlineLevel="0" collapsed="false">
      <c r="A9" s="11" t="s">
        <v>209</v>
      </c>
      <c r="B9" s="12" t="n">
        <f aca="false">COUNTIF('Enrollment Selections'!H2:H500,"Waitlisted")</f>
        <v>33</v>
      </c>
    </row>
    <row r="10" customFormat="false" ht="15" hidden="false" customHeight="false" outlineLevel="0" collapsed="false">
      <c r="A10" s="9" t="s">
        <v>210</v>
      </c>
      <c r="B10" s="10" t="n">
        <f aca="false">COUNTIF('Course Offerings'!A2:A100,"CS*")</f>
        <v>8</v>
      </c>
    </row>
    <row r="11" customFormat="false" ht="15" hidden="false" customHeight="false" outlineLevel="0" collapsed="false">
      <c r="A11" s="11" t="s">
        <v>211</v>
      </c>
      <c r="B11" s="12" t="n">
        <f aca="false">COUNTIF('Course Offerings'!A2:A100,"DA*")</f>
        <v>8</v>
      </c>
    </row>
    <row r="12" customFormat="false" ht="15" hidden="false" customHeight="false" outlineLevel="0" collapsed="false">
      <c r="A12" s="9" t="s">
        <v>212</v>
      </c>
      <c r="B12" s="10" t="n">
        <f aca="false">COUNTIF('Course Offerings'!A2:A100,"IE*")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213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9</v>
      </c>
    </row>
    <row r="2" customFormat="false" ht="15" hidden="false" customHeight="false" outlineLevel="0" collapsed="false">
      <c r="A2" s="4" t="n">
        <v>46037</v>
      </c>
      <c r="B2" s="2" t="s">
        <v>220</v>
      </c>
      <c r="C2" s="2" t="s">
        <v>221</v>
      </c>
      <c r="D2" s="2" t="s">
        <v>222</v>
      </c>
      <c r="E2" s="2" t="s">
        <v>223</v>
      </c>
      <c r="F2" s="2" t="n">
        <v>0</v>
      </c>
      <c r="G2" s="2" t="s">
        <v>224</v>
      </c>
      <c r="H2" s="2" t="s">
        <v>225</v>
      </c>
    </row>
    <row r="3" customFormat="false" ht="15" hidden="false" customHeight="false" outlineLevel="0" collapsed="false">
      <c r="A3" s="7" t="n">
        <v>46037</v>
      </c>
      <c r="B3" s="5" t="s">
        <v>226</v>
      </c>
      <c r="C3" s="5" t="s">
        <v>221</v>
      </c>
      <c r="D3" s="5" t="s">
        <v>227</v>
      </c>
      <c r="E3" s="5" t="s">
        <v>228</v>
      </c>
      <c r="F3" s="5" t="n">
        <v>2</v>
      </c>
      <c r="G3" s="5" t="s">
        <v>229</v>
      </c>
      <c r="H3" s="5" t="s">
        <v>230</v>
      </c>
    </row>
    <row r="4" customFormat="false" ht="15" hidden="false" customHeight="false" outlineLevel="0" collapsed="false">
      <c r="A4" s="4" t="n">
        <v>46037</v>
      </c>
      <c r="B4" s="2" t="s">
        <v>231</v>
      </c>
      <c r="C4" s="2" t="s">
        <v>232</v>
      </c>
      <c r="D4" s="2" t="s">
        <v>233</v>
      </c>
      <c r="E4" s="2" t="s">
        <v>234</v>
      </c>
      <c r="F4" s="2" t="n">
        <v>3</v>
      </c>
      <c r="G4" s="2" t="s">
        <v>235</v>
      </c>
      <c r="H4" s="2" t="s">
        <v>230</v>
      </c>
    </row>
    <row r="5" customFormat="false" ht="15" hidden="false" customHeight="false" outlineLevel="0" collapsed="false">
      <c r="A5" s="7" t="n">
        <v>46038</v>
      </c>
      <c r="B5" s="5" t="s">
        <v>236</v>
      </c>
      <c r="C5" s="5" t="s">
        <v>237</v>
      </c>
      <c r="D5" s="5" t="s">
        <v>238</v>
      </c>
      <c r="E5" s="5" t="s">
        <v>239</v>
      </c>
      <c r="F5" s="5" t="n">
        <v>1</v>
      </c>
      <c r="G5" s="5" t="s">
        <v>240</v>
      </c>
      <c r="H5" s="5" t="s">
        <v>230</v>
      </c>
    </row>
    <row r="6" customFormat="false" ht="15" hidden="false" customHeight="false" outlineLevel="0" collapsed="false">
      <c r="A6" s="4" t="n">
        <v>46038</v>
      </c>
      <c r="B6" s="2" t="s">
        <v>241</v>
      </c>
      <c r="C6" s="2" t="s">
        <v>221</v>
      </c>
      <c r="D6" s="2" t="s">
        <v>242</v>
      </c>
      <c r="E6" s="2" t="s">
        <v>228</v>
      </c>
      <c r="F6" s="2" t="n">
        <v>4</v>
      </c>
      <c r="G6" s="2" t="s">
        <v>243</v>
      </c>
      <c r="H6" s="2" t="s">
        <v>244</v>
      </c>
    </row>
    <row r="7" customFormat="false" ht="15" hidden="false" customHeight="false" outlineLevel="0" collapsed="false">
      <c r="A7" s="7" t="n">
        <v>46054</v>
      </c>
      <c r="B7" s="5" t="s">
        <v>220</v>
      </c>
      <c r="C7" s="5" t="s">
        <v>232</v>
      </c>
      <c r="D7" s="5" t="s">
        <v>245</v>
      </c>
      <c r="E7" s="5" t="s">
        <v>239</v>
      </c>
      <c r="F7" s="5" t="n">
        <v>2</v>
      </c>
      <c r="G7" s="5" t="s">
        <v>246</v>
      </c>
      <c r="H7" s="5" t="s">
        <v>230</v>
      </c>
    </row>
    <row r="8" customFormat="false" ht="15" hidden="false" customHeight="false" outlineLevel="0" collapsed="false">
      <c r="A8" s="4" t="n">
        <v>46054</v>
      </c>
      <c r="B8" s="2" t="s">
        <v>247</v>
      </c>
      <c r="C8" s="2" t="s">
        <v>232</v>
      </c>
      <c r="D8" s="2" t="s">
        <v>248</v>
      </c>
      <c r="E8" s="2" t="s">
        <v>239</v>
      </c>
      <c r="F8" s="2" t="n">
        <v>8</v>
      </c>
      <c r="G8" s="2" t="s">
        <v>249</v>
      </c>
      <c r="H8" s="2" t="s">
        <v>230</v>
      </c>
    </row>
    <row r="9" customFormat="false" ht="15" hidden="false" customHeight="false" outlineLevel="0" collapsed="false">
      <c r="A9" s="7" t="n">
        <v>46068</v>
      </c>
      <c r="B9" s="5" t="s">
        <v>250</v>
      </c>
      <c r="C9" s="5" t="s">
        <v>232</v>
      </c>
      <c r="D9" s="5" t="s">
        <v>251</v>
      </c>
      <c r="E9" s="5" t="s">
        <v>239</v>
      </c>
      <c r="F9" s="5" t="n">
        <v>3</v>
      </c>
      <c r="G9" s="5" t="s">
        <v>252</v>
      </c>
      <c r="H9" s="5" t="s">
        <v>230</v>
      </c>
    </row>
  </sheetData>
  <autoFilter ref="A1:H9"/>
  <dataValidations count="2">
    <dataValidation allowBlank="false" errorStyle="stop" operator="between" showDropDown="false" showErrorMessage="false" showInputMessage="false" sqref="E2:E9" type="list">
      <formula1>"Low,Medium,High,Info"</formula1>
      <formula2>0</formula2>
    </dataValidation>
    <dataValidation allowBlank="false" errorStyle="stop" operator="between" showDropDown="false" showErrorMessage="false" showInputMessage="false" sqref="H2:H9" type="list">
      <formula1>"Passed,Resolved,Monitoring,Open"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2026-05-18T19:19:03Z</dcterms:created>
  <dc:creator>openpyxl</dc:creator>
  <dc:description/>
  <dc:language>en-US</dc:language>
  <cp:lastModifiedBy/>
  <dcterms:modified xsi:type="dcterms:W3CDTF">2026-05-18T19:19:03Z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